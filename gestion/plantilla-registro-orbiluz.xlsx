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ómo usarlo" sheetId="2" state="visible" r:id="rId2"/>
    <sheet name="Parámetros" sheetId="3" state="visible" r:id="rId3"/>
    <sheet name="Pedidos" sheetId="4" state="visible" r:id="rId4"/>
    <sheet name="Clientes" sheetId="5" state="visible" r:id="rId5"/>
    <sheet name="Carritos abandonados" sheetId="6" state="visible" r:id="rId6"/>
    <sheet name="Devolu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;-#,##0.00 €;-"/>
    <numFmt numFmtId="165" formatCode="0.0%;-0.0%;-"/>
    <numFmt numFmtId="166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12123A"/>
      <sz val="14"/>
    </font>
    <font>
      <name val="Arial"/>
      <b val="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i val="1"/>
      <color rgb="00666666"/>
    </font>
    <font>
      <name val="Arial"/>
      <color rgb="00008000"/>
    </font>
    <font>
      <name val="Arial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2123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8" fillId="0" borderId="1" pivotButton="0" quotePrefix="0" xfId="0"/>
    <xf numFmtId="0" fontId="2" fillId="0" borderId="1" pivotButton="0" quotePrefix="0" xfId="0"/>
    <xf numFmtId="0" fontId="3" fillId="2" borderId="0" pivotButton="0" quotePrefix="0" xfId="0"/>
    <xf numFmtId="164" fontId="9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2" fontId="2" fillId="0" borderId="1" pivotButton="0" quotePrefix="0" xfId="0"/>
    <xf numFmtId="0" fontId="8" fillId="0" borderId="0" pivotButton="0" quotePrefix="0" xfId="0"/>
    <xf numFmtId="165" fontId="5" fillId="3" borderId="0" pivotButton="0" quotePrefix="0" xfId="0"/>
    <xf numFmtId="164" fontId="5" fillId="3" borderId="0" pivotButton="0" quotePrefix="0" xfId="0"/>
    <xf numFmtId="0" fontId="3" fillId="2" borderId="0" applyAlignment="1" pivotButton="0" quotePrefix="0" xfId="0">
      <alignment wrapText="1"/>
    </xf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4" borderId="0" pivotButton="0" quotePrefix="0" xfId="0"/>
    <xf numFmtId="166" fontId="5" fillId="4" borderId="0" pivotButton="0" quotePrefix="0" xfId="0"/>
    <xf numFmtId="164" fontId="7" fillId="4" borderId="0" pivotButton="0" quotePrefix="0" xfId="0"/>
    <xf numFmtId="164" fontId="5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0" fontId="5" fillId="0" borderId="0" pivotButton="0" quotePrefix="0" xfId="0"/>
    <xf numFmtId="166" fontId="5" fillId="0" borderId="0" pivotButton="0" quotePrefix="0" xfId="0"/>
    <xf numFmtId="164" fontId="7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7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Orbiluz</author>
  </authors>
  <commentList>
    <comment ref="J1" authorId="0" shapeId="0">
      <text>
        <t>Se rellena solo desde Parámetros; si vendes a otro precio, escríbelo encima.</t>
      </text>
    </comment>
    <comment ref="R1" authorId="0" shapeId="0">
      <text>
        <t>Beneficio sin IVA: Total/1,21 − coste producto − envío proveedor − comisión − publicidad.</t>
      </text>
    </comment>
  </commentList>
</comments>
</file>

<file path=xl/comments/comment2.xml><?xml version="1.0" encoding="utf-8"?>
<comments xmlns="http://schemas.openxmlformats.org/spreadsheetml/2006/main">
  <authors>
    <author>Orbiluz</author>
  </authors>
  <commentList>
    <comment ref="F1" authorId="0" shapeId="0">
      <text>
        <t>Solo puedes enviar emails de recuperación con oferta a quien aceptó marketing o dentro de la venta en curso; revisa la política de privacidad.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" customWidth="1" min="3" max="3"/>
    <col width="30" customWidth="1" min="4" max="4"/>
    <col width="11" customWidth="1" min="5" max="5"/>
    <col width="14" customWidth="1" min="6" max="6"/>
    <col width="14" customWidth="1" min="7" max="7"/>
  </cols>
  <sheetData>
    <row r="1">
      <c r="A1" s="1" t="inlineStr">
        <is>
          <t>Resumen Orbiluz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Se calcula solo. No escribas en esta hoja.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3" t="inlineStr">
        <is>
          <t>Por producto</t>
        </is>
      </c>
      <c r="E3" s="2" t="n"/>
      <c r="F3" s="2" t="n"/>
      <c r="G3" s="2" t="n"/>
    </row>
    <row r="4">
      <c r="A4" s="4" t="inlineStr">
        <is>
          <t>Pedidos</t>
        </is>
      </c>
      <c r="B4" s="5">
        <f>COUNTA(Pedidos!A2:A301)</f>
        <v/>
      </c>
      <c r="C4" s="2" t="n"/>
      <c r="D4" s="6" t="inlineStr">
        <is>
          <t>Producto</t>
        </is>
      </c>
      <c r="E4" s="6" t="inlineStr">
        <is>
          <t>Unidades</t>
        </is>
      </c>
      <c r="F4" s="6" t="inlineStr">
        <is>
          <t>Ingresos (€)</t>
        </is>
      </c>
      <c r="G4" s="6" t="inlineStr">
        <is>
          <t>Beneficio (€)</t>
        </is>
      </c>
    </row>
    <row r="5">
      <c r="A5" s="4" t="inlineStr">
        <is>
          <t>Pedidos cancelados o devueltos</t>
        </is>
      </c>
      <c r="B5" s="5">
        <f>COUNTIF(Pedidos!U2:U301,"Cancelado")+COUNTIF(Pedidos!U2:U301,"Devuelto")</f>
        <v/>
      </c>
      <c r="C5" s="2" t="n"/>
      <c r="D5" s="2" t="inlineStr">
        <is>
          <t>Lámpara bola de cristal 3D</t>
        </is>
      </c>
      <c r="E5" s="2">
        <f>SUMIF(Pedidos!$G$2:$G$301,D5,Pedidos!$I$2:$I$301)</f>
        <v/>
      </c>
      <c r="F5" s="7">
        <f>SUMIF(Pedidos!$G$2:$G$301,D5,Pedidos!$M$2:$M$301)</f>
        <v/>
      </c>
      <c r="G5" s="7">
        <f>SUMIF(Pedidos!$G$2:$G$301,D5,Pedidos!$R$2:$R$301)</f>
        <v/>
      </c>
    </row>
    <row r="6">
      <c r="A6" s="4" t="inlineStr">
        <is>
          <t>Ingresos cobrados con IVA (€)</t>
        </is>
      </c>
      <c r="B6" s="8">
        <f>SUM(Pedidos!M2:M301)</f>
        <v/>
      </c>
      <c r="C6" s="2" t="n"/>
      <c r="D6" s="2" t="inlineStr">
        <is>
          <t>Reloj LED 3D de pared y mesa</t>
        </is>
      </c>
      <c r="E6" s="2">
        <f>SUMIF(Pedidos!$G$2:$G$301,D6,Pedidos!$I$2:$I$301)</f>
        <v/>
      </c>
      <c r="F6" s="7">
        <f>SUMIF(Pedidos!$G$2:$G$301,D6,Pedidos!$M$2:$M$301)</f>
        <v/>
      </c>
      <c r="G6" s="7">
        <f>SUMIF(Pedidos!$G$2:$G$301,D6,Pedidos!$R$2:$R$301)</f>
        <v/>
      </c>
    </row>
    <row r="7">
      <c r="A7" s="4" t="inlineStr">
        <is>
          <t>Ingresos sin IVA (€)</t>
        </is>
      </c>
      <c r="B7" s="8">
        <f>B6/1.21</f>
        <v/>
      </c>
      <c r="C7" s="2" t="n"/>
      <c r="D7" s="2" t="inlineStr">
        <is>
          <t>Proyector de ondas de agua</t>
        </is>
      </c>
      <c r="E7" s="2">
        <f>SUMIF(Pedidos!$G$2:$G$301,D7,Pedidos!$I$2:$I$301)</f>
        <v/>
      </c>
      <c r="F7" s="7">
        <f>SUMIF(Pedidos!$G$2:$G$301,D7,Pedidos!$M$2:$M$301)</f>
        <v/>
      </c>
      <c r="G7" s="7">
        <f>SUMIF(Pedidos!$G$2:$G$301,D7,Pedidos!$R$2:$R$301)</f>
        <v/>
      </c>
    </row>
    <row r="8">
      <c r="A8" s="4" t="inlineStr">
        <is>
          <t>Beneficio (€)</t>
        </is>
      </c>
      <c r="B8" s="8">
        <f>SUM(Pedidos!R2:R301)</f>
        <v/>
      </c>
      <c r="C8" s="2" t="n"/>
      <c r="D8" s="2" t="inlineStr">
        <is>
          <t>Globo terráqueo que levita</t>
        </is>
      </c>
      <c r="E8" s="2">
        <f>SUMIF(Pedidos!$G$2:$G$301,D8,Pedidos!$I$2:$I$301)</f>
        <v/>
      </c>
      <c r="F8" s="7">
        <f>SUMIF(Pedidos!$G$2:$G$301,D8,Pedidos!$M$2:$M$301)</f>
        <v/>
      </c>
      <c r="G8" s="7">
        <f>SUMIF(Pedidos!$G$2:$G$301,D8,Pedidos!$R$2:$R$301)</f>
        <v/>
      </c>
    </row>
    <row r="9">
      <c r="A9" s="4" t="inlineStr">
        <is>
          <t>Margen medio</t>
        </is>
      </c>
      <c r="B9" s="9">
        <f>IF(B7=0,"",B8/B7)</f>
        <v/>
      </c>
      <c r="C9" s="2" t="n"/>
      <c r="D9" s="2" t="n"/>
      <c r="E9" s="2" t="n"/>
      <c r="F9" s="2" t="n"/>
      <c r="G9" s="2" t="n"/>
    </row>
    <row r="10">
      <c r="A10" s="4" t="inlineStr">
        <is>
          <t>Ticket medio (€)</t>
        </is>
      </c>
      <c r="B10" s="8">
        <f>IF(B4=0,"",B6/B4)</f>
        <v/>
      </c>
      <c r="C10" s="2" t="n"/>
      <c r="D10" s="2" t="n"/>
      <c r="E10" s="2" t="n"/>
      <c r="F10" s="2" t="n"/>
      <c r="G10" s="2" t="n"/>
    </row>
    <row r="11">
      <c r="A11" s="4" t="inlineStr">
        <is>
          <t>Publicidad asignada (€)</t>
        </is>
      </c>
      <c r="B11" s="8">
        <f>SUM(Pedidos!Q2:Q301)</f>
        <v/>
      </c>
      <c r="C11" s="2" t="n"/>
      <c r="D11" s="3" t="inlineStr">
        <is>
          <t>Por origen</t>
        </is>
      </c>
      <c r="E11" s="2" t="n"/>
      <c r="F11" s="2" t="n"/>
      <c r="G11" s="2" t="n"/>
    </row>
    <row r="12">
      <c r="A12" s="4" t="inlineStr">
        <is>
          <t>ROAS (ingresos / publicidad)</t>
        </is>
      </c>
      <c r="B12" s="10">
        <f>IF(B11=0,"",B6/B11)</f>
        <v/>
      </c>
      <c r="C12" s="2" t="n"/>
      <c r="D12" s="6" t="inlineStr">
        <is>
          <t>Origen</t>
        </is>
      </c>
      <c r="E12" s="6" t="inlineStr">
        <is>
          <t>Pedidos</t>
        </is>
      </c>
      <c r="F12" s="6" t="inlineStr">
        <is>
          <t>Ingresos (€)</t>
        </is>
      </c>
      <c r="G12" s="6" t="inlineStr">
        <is>
          <t>Beneficio (€)</t>
        </is>
      </c>
    </row>
    <row r="13">
      <c r="A13" s="4" t="inlineStr">
        <is>
          <t>Clientes</t>
        </is>
      </c>
      <c r="B13" s="5">
        <f>COUNTA(Clientes!A2:A301)</f>
        <v/>
      </c>
      <c r="C13" s="2" t="n"/>
      <c r="D13" s="2" t="inlineStr">
        <is>
          <t>Meta Ads</t>
        </is>
      </c>
      <c r="E13" s="2">
        <f>COUNTIF(Pedidos!$T$2:$T$301,D13)</f>
        <v/>
      </c>
      <c r="F13" s="7">
        <f>SUMIF(Pedidos!$T$2:$T$301,D13,Pedidos!$M$2:$M$301)</f>
        <v/>
      </c>
      <c r="G13" s="7">
        <f>SUMIF(Pedidos!$T$2:$T$301,D13,Pedidos!$R$2:$R$301)</f>
        <v/>
      </c>
    </row>
    <row r="14">
      <c r="A14" s="4" t="inlineStr">
        <is>
          <t>Clientes que repiten</t>
        </is>
      </c>
      <c r="B14" s="5">
        <f>COUNTIF(Clientes!F2:F301,"&gt;1")</f>
        <v/>
      </c>
      <c r="C14" s="2" t="n"/>
      <c r="D14" s="2" t="inlineStr">
        <is>
          <t>TikTok Ads</t>
        </is>
      </c>
      <c r="E14" s="2">
        <f>COUNTIF(Pedidos!$T$2:$T$301,D14)</f>
        <v/>
      </c>
      <c r="F14" s="7">
        <f>SUMIF(Pedidos!$T$2:$T$301,D14,Pedidos!$M$2:$M$301)</f>
        <v/>
      </c>
      <c r="G14" s="7">
        <f>SUMIF(Pedidos!$T$2:$T$301,D14,Pedidos!$R$2:$R$301)</f>
        <v/>
      </c>
    </row>
    <row r="15">
      <c r="A15" s="4" t="inlineStr">
        <is>
          <t>Carritos abandonados</t>
        </is>
      </c>
      <c r="B15" s="5">
        <f>COUNTA('Carritos abandonados'!B2:B301)</f>
        <v/>
      </c>
      <c r="C15" s="2" t="n"/>
      <c r="D15" s="2" t="inlineStr">
        <is>
          <t>Instagram orgánico</t>
        </is>
      </c>
      <c r="E15" s="2">
        <f>COUNTIF(Pedidos!$T$2:$T$301,D15)</f>
        <v/>
      </c>
      <c r="F15" s="7">
        <f>SUMIF(Pedidos!$T$2:$T$301,D15,Pedidos!$M$2:$M$301)</f>
        <v/>
      </c>
      <c r="G15" s="7">
        <f>SUMIF(Pedidos!$T$2:$T$301,D15,Pedidos!$R$2:$R$301)</f>
        <v/>
      </c>
    </row>
    <row r="16">
      <c r="A16" s="4" t="inlineStr">
        <is>
          <t>Carritos recuperados</t>
        </is>
      </c>
      <c r="B16" s="5">
        <f>COUNTIF('Carritos abandonados'!K2:K301,"Sí")</f>
        <v/>
      </c>
      <c r="C16" s="2" t="n"/>
      <c r="D16" s="2" t="inlineStr">
        <is>
          <t>TikTok orgánico</t>
        </is>
      </c>
      <c r="E16" s="2">
        <f>COUNTIF(Pedidos!$T$2:$T$301,D16)</f>
        <v/>
      </c>
      <c r="F16" s="7">
        <f>SUMIF(Pedidos!$T$2:$T$301,D16,Pedidos!$M$2:$M$301)</f>
        <v/>
      </c>
      <c r="G16" s="7">
        <f>SUMIF(Pedidos!$T$2:$T$301,D16,Pedidos!$R$2:$R$301)</f>
        <v/>
      </c>
    </row>
    <row r="17">
      <c r="A17" s="4" t="inlineStr">
        <is>
          <t>Tasa de recuperación</t>
        </is>
      </c>
      <c r="B17" s="9">
        <f>IF(B15=0,"",B16/B15)</f>
        <v/>
      </c>
      <c r="C17" s="2" t="n"/>
      <c r="D17" s="2" t="inlineStr">
        <is>
          <t>Google</t>
        </is>
      </c>
      <c r="E17" s="2">
        <f>COUNTIF(Pedidos!$T$2:$T$301,D17)</f>
        <v/>
      </c>
      <c r="F17" s="7">
        <f>SUMIF(Pedidos!$T$2:$T$301,D17,Pedidos!$M$2:$M$301)</f>
        <v/>
      </c>
      <c r="G17" s="7">
        <f>SUMIF(Pedidos!$T$2:$T$301,D17,Pedidos!$R$2:$R$301)</f>
        <v/>
      </c>
    </row>
    <row r="18">
      <c r="A18" s="4" t="inlineStr">
        <is>
          <t>Devoluciones</t>
        </is>
      </c>
      <c r="B18" s="5">
        <f>COUNTA(Devoluciones!A2:A301)</f>
        <v/>
      </c>
      <c r="C18" s="2" t="n"/>
      <c r="D18" s="2" t="inlineStr">
        <is>
          <t>Directo</t>
        </is>
      </c>
      <c r="E18" s="2">
        <f>COUNTIF(Pedidos!$T$2:$T$301,D18)</f>
        <v/>
      </c>
      <c r="F18" s="7">
        <f>SUMIF(Pedidos!$T$2:$T$301,D18,Pedidos!$M$2:$M$301)</f>
        <v/>
      </c>
      <c r="G18" s="7">
        <f>SUMIF(Pedidos!$T$2:$T$301,D18,Pedidos!$R$2:$R$301)</f>
        <v/>
      </c>
    </row>
    <row r="19">
      <c r="A19" s="4" t="inlineStr">
        <is>
          <t>Tasa de devolución</t>
        </is>
      </c>
      <c r="B19" s="9">
        <f>IF(B4=0,"",B18/B4)</f>
        <v/>
      </c>
      <c r="C19" s="2" t="n"/>
      <c r="D19" s="2" t="inlineStr">
        <is>
          <t>Carrito recuperado</t>
        </is>
      </c>
      <c r="E19" s="2">
        <f>COUNTIF(Pedidos!$T$2:$T$301,D19)</f>
        <v/>
      </c>
      <c r="F19" s="7">
        <f>SUMIF(Pedidos!$T$2:$T$301,D19,Pedidos!$M$2:$M$301)</f>
        <v/>
      </c>
      <c r="G19" s="7">
        <f>SUMIF(Pedidos!$T$2:$T$301,D19,Pedidos!$R$2:$R$301)</f>
        <v/>
      </c>
    </row>
    <row r="20">
      <c r="A20" s="2" t="n"/>
      <c r="B20" s="2" t="n"/>
      <c r="C20" s="2" t="n"/>
      <c r="D20" s="2" t="inlineStr">
        <is>
          <t>Otro</t>
        </is>
      </c>
      <c r="E20" s="2">
        <f>COUNTIF(Pedidos!$T$2:$T$301,D20)</f>
        <v/>
      </c>
      <c r="F20" s="7">
        <f>SUMIF(Pedidos!$T$2:$T$301,D20,Pedidos!$M$2:$M$301)</f>
        <v/>
      </c>
      <c r="G20" s="7">
        <f>SUMIF(Pedidos!$T$2:$T$301,D20,Pedidos!$R$2:$R$301)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usar este registro</t>
        </is>
      </c>
    </row>
    <row r="2">
      <c r="A2" s="11" t="inlineStr"/>
    </row>
    <row r="3">
      <c r="A3" s="11" t="inlineStr">
        <is>
          <t>1. Rellena primero la hoja Parámetros: el coste de cada producto y la comisión de pago (celdas amarillas).</t>
        </is>
      </c>
    </row>
    <row r="4">
      <c r="A4" s="11" t="inlineStr">
        <is>
          <t>2. Cada venta = una fila en Pedidos (si un pedido lleva 2 productos distintos, usa 2 filas con el mismo Nº de pedido).</t>
        </is>
      </c>
    </row>
    <row r="5">
      <c r="A5" s="11" t="inlineStr">
        <is>
          <t>3. Escribe solo en las columnas de texto azul. Las negras y verdes se calculan solas.</t>
        </is>
      </c>
    </row>
    <row r="6">
      <c r="A6" s="11" t="inlineStr">
        <is>
          <t>4. Añade al cliente en Clientes con el mismo email: el nº de pedidos y lo gastado se suman solos.</t>
        </is>
      </c>
    </row>
    <row r="7">
      <c r="A7" s="11" t="inlineStr">
        <is>
          <t>5. Carritos abandonados: apunta los de Shopify › Pedidos › Carritos abandonados y marca si se recuperan.</t>
        </is>
      </c>
    </row>
    <row r="8">
      <c r="A8" s="11" t="inlineStr">
        <is>
          <t>6. Devoluciones: el plazo de 14 días se comprueba solo a partir de la fecha de entrega del pedido.</t>
        </is>
      </c>
    </row>
    <row r="9">
      <c r="A9" s="11" t="inlineStr">
        <is>
          <t>7. La fila 2 de Pedidos es un EJEMPLO: bórrala antes de empezar.</t>
        </is>
      </c>
    </row>
    <row r="10">
      <c r="A10" s="11" t="inlineStr"/>
    </row>
    <row r="11">
      <c r="A11" s="3" t="inlineStr">
        <is>
          <t>Protección de datos (RGPD)</t>
        </is>
      </c>
    </row>
    <row r="12">
      <c r="A12" s="11" t="inlineStr">
        <is>
          <t>Este archivo contiene datos personales. Guarda la copia rellena en gestion/datos/ (está excluida de Git) o en tu ordenador,</t>
        </is>
      </c>
    </row>
    <row r="13">
      <c r="A13" s="11" t="inlineStr">
        <is>
          <t>nunca en un repositorio ni en una carpeta compartida. Borra los datos de quien lo pida y no los guardes más tiempo del necesario.</t>
        </is>
      </c>
    </row>
    <row r="14">
      <c r="A14" s="11" t="inlineStr"/>
    </row>
    <row r="15">
      <c r="A15" s="11" t="inlineStr">
        <is>
          <t>Colores: azul = lo escribes tú · negro = fórmula · verde = viene de otra hoja · amarillo = dato que falta.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22" customWidth="1" min="4" max="4"/>
    <col width="60" customWidth="1" min="5" max="5"/>
  </cols>
  <sheetData>
    <row r="1">
      <c r="A1" s="1" t="inlineStr">
        <is>
          <t>Parámetros (rellena lo amarillo)</t>
        </is>
      </c>
    </row>
    <row r="3">
      <c r="A3" t="inlineStr">
        <is>
          <t>Comisión de pago (%)</t>
        </is>
      </c>
      <c r="B3" s="12" t="n">
        <v>0.019</v>
      </c>
      <c r="C3" t="inlineStr">
        <is>
          <t>Confírmalo en Shopify › Configuración › Pagos: depende de tu plan y del tipo de tarjeta.</t>
        </is>
      </c>
    </row>
    <row r="4">
      <c r="A4" t="inlineStr">
        <is>
          <t>Comisión de pago fija por pedido (€)</t>
        </is>
      </c>
      <c r="B4" s="13" t="n">
        <v>0.25</v>
      </c>
    </row>
    <row r="6">
      <c r="A6" s="3" t="inlineStr">
        <is>
          <t>Productos</t>
        </is>
      </c>
    </row>
    <row r="7">
      <c r="A7" s="14" t="inlineStr">
        <is>
          <t>Producto</t>
        </is>
      </c>
      <c r="B7" s="14" t="inlineStr">
        <is>
          <t>Precio de venta (€)</t>
        </is>
      </c>
      <c r="C7" s="14" t="inlineStr">
        <is>
          <t>Coste proveedor por unidad (€)</t>
        </is>
      </c>
      <c r="D7" s="14" t="inlineStr">
        <is>
          <t>Coste envío proveedor por unidad (€)</t>
        </is>
      </c>
      <c r="E7" s="6" t="inlineStr">
        <is>
          <t>Coste real del proveedor (en USD: pásalo a euros al cambio del día)</t>
        </is>
      </c>
    </row>
    <row r="8">
      <c r="A8" s="15" t="inlineStr">
        <is>
          <t>Lámpara bola de cristal 3D</t>
        </is>
      </c>
      <c r="B8" s="16" t="n">
        <v>24.9</v>
      </c>
      <c r="C8" s="13" t="n"/>
      <c r="D8" s="13" t="n"/>
      <c r="E8" s="17" t="inlineStr">
        <is>
          <t>DSers 29/09/2026: 7,59-7,85 USD + envío 1,99 USD (AliExpress Selection Premium, 5-9 días)</t>
        </is>
      </c>
    </row>
    <row r="9">
      <c r="A9" s="15" t="inlineStr">
        <is>
          <t>Reloj LED 3D de pared y mesa</t>
        </is>
      </c>
      <c r="B9" s="16" t="n">
        <v>29.9</v>
      </c>
      <c r="C9" s="13" t="n"/>
      <c r="D9" s="13" t="n"/>
      <c r="E9" s="17" t="inlineStr">
        <is>
          <t>DSers 29/09/2026: 7,51-8,62 USD + envío 1,99 USD (AliExpress Selection Premium, 5-9 días)</t>
        </is>
      </c>
    </row>
    <row r="10">
      <c r="A10" s="15" t="inlineStr">
        <is>
          <t>Proyector de ondas de agua</t>
        </is>
      </c>
      <c r="B10" s="16" t="n">
        <v>29.9</v>
      </c>
      <c r="C10" s="13" t="n"/>
      <c r="D10" s="13" t="n"/>
      <c r="E10" s="17" t="inlineStr">
        <is>
          <t>DSers 29/09/2026: 11,18 USD + envío 1,99 USD (AliExpress Selection Premium, 5-9 días)</t>
        </is>
      </c>
    </row>
    <row r="11">
      <c r="A11" s="15" t="inlineStr">
        <is>
          <t>Globo terráqueo que levita</t>
        </is>
      </c>
      <c r="B11" s="16" t="n">
        <v>129</v>
      </c>
      <c r="C11" s="13" t="n"/>
      <c r="D11" s="13" t="n"/>
      <c r="E11" s="17" t="inlineStr">
        <is>
          <t>DSers 29/09/2026: 47,43 USD + envío 27,58 USD (1688, envío especial, 10-15 días)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26" customWidth="1" min="4" max="4"/>
    <col width="14" customWidth="1" min="5" max="5"/>
    <col width="14" customWidth="1" min="6" max="6"/>
    <col width="30" customWidth="1" min="7" max="7"/>
    <col width="16" customWidth="1" min="8" max="8"/>
    <col width="9" customWidth="1" min="9" max="9"/>
    <col width="12" customWidth="1" min="10" max="10"/>
    <col width="11" customWidth="1" min="11" max="11"/>
    <col width="11" customWidth="1" min="12" max="12"/>
    <col width="13" customWidth="1" min="13" max="13"/>
    <col width="13" customWidth="1" min="14" max="14"/>
    <col width="13" customWidth="1" min="15" max="15"/>
    <col width="12" customWidth="1" min="16" max="16"/>
    <col width="13" customWidth="1" min="17" max="17"/>
    <col width="12" customWidth="1" min="18" max="18"/>
    <col width="9" customWidth="1" min="19" max="19"/>
    <col width="13" customWidth="1" min="20" max="20"/>
    <col width="13" customWidth="1" min="21" max="21"/>
    <col width="18" customWidth="1" min="22" max="22"/>
    <col width="20" customWidth="1" min="23" max="23"/>
    <col width="12" customWidth="1" min="24" max="24"/>
    <col width="12" customWidth="1" min="25" max="25"/>
    <col width="30" customWidth="1" min="26" max="26"/>
  </cols>
  <sheetData>
    <row r="1" ht="34" customHeight="1">
      <c r="A1" s="18" t="inlineStr">
        <is>
          <t>Nº pedido</t>
        </is>
      </c>
      <c r="B1" s="18" t="inlineStr">
        <is>
          <t>Fecha</t>
        </is>
      </c>
      <c r="C1" s="18" t="inlineStr">
        <is>
          <t>Nombre cliente</t>
        </is>
      </c>
      <c r="D1" s="18" t="inlineStr">
        <is>
          <t>Email</t>
        </is>
      </c>
      <c r="E1" s="18" t="inlineStr">
        <is>
          <t>Teléfono</t>
        </is>
      </c>
      <c r="F1" s="18" t="inlineStr">
        <is>
          <t>Provincia</t>
        </is>
      </c>
      <c r="G1" s="18" t="inlineStr">
        <is>
          <t>Producto</t>
        </is>
      </c>
      <c r="H1" s="18" t="inlineStr">
        <is>
          <t>Variante</t>
        </is>
      </c>
      <c r="I1" s="18" t="inlineStr">
        <is>
          <t>Unidades</t>
        </is>
      </c>
      <c r="J1" s="18" t="inlineStr">
        <is>
          <t>Precio unidad (€)</t>
        </is>
      </c>
      <c r="K1" s="18" t="inlineStr">
        <is>
          <t>Descuento (€)</t>
        </is>
      </c>
      <c r="L1" s="18" t="inlineStr">
        <is>
          <t>Envío cobrado (€)</t>
        </is>
      </c>
      <c r="M1" s="18" t="inlineStr">
        <is>
          <t>Total cobrado (€)</t>
        </is>
      </c>
      <c r="N1" s="18" t="inlineStr">
        <is>
          <t>Coste producto (€)</t>
        </is>
      </c>
      <c r="O1" s="18" t="inlineStr">
        <is>
          <t>Coste envío proveedor (€)</t>
        </is>
      </c>
      <c r="P1" s="18" t="inlineStr">
        <is>
          <t>Comisión pago (€)</t>
        </is>
      </c>
      <c r="Q1" s="18" t="inlineStr">
        <is>
          <t>Publicidad asignada (€)</t>
        </is>
      </c>
      <c r="R1" s="18" t="inlineStr">
        <is>
          <t>Beneficio (€)</t>
        </is>
      </c>
      <c r="S1" s="18" t="inlineStr">
        <is>
          <t>Margen</t>
        </is>
      </c>
      <c r="T1" s="18" t="inlineStr">
        <is>
          <t>Origen</t>
        </is>
      </c>
      <c r="U1" s="18" t="inlineStr">
        <is>
          <t>Estado</t>
        </is>
      </c>
      <c r="V1" s="18" t="inlineStr">
        <is>
          <t>Pedido proveedor (DSers)</t>
        </is>
      </c>
      <c r="W1" s="18" t="inlineStr">
        <is>
          <t>Nº seguimiento</t>
        </is>
      </c>
      <c r="X1" s="18" t="inlineStr">
        <is>
          <t>Fecha envío</t>
        </is>
      </c>
      <c r="Y1" s="18" t="inlineStr">
        <is>
          <t>Fecha entrega</t>
        </is>
      </c>
      <c r="Z1" s="18" t="inlineStr">
        <is>
          <t>Notas</t>
        </is>
      </c>
    </row>
    <row r="2">
      <c r="A2" s="19" t="inlineStr">
        <is>
          <t>EJEMPLO-1001</t>
        </is>
      </c>
      <c r="B2" s="20" t="n">
        <v>46296</v>
      </c>
      <c r="C2" s="19" t="inlineStr">
        <is>
          <t>Cliente Ejemplo</t>
        </is>
      </c>
      <c r="D2" s="19" t="inlineStr">
        <is>
          <t>ejemplo@correo.com</t>
        </is>
      </c>
      <c r="E2" s="19" t="inlineStr">
        <is>
          <t>600000000</t>
        </is>
      </c>
      <c r="F2" s="19" t="inlineStr">
        <is>
          <t>Granada</t>
        </is>
      </c>
      <c r="G2" s="19" t="inlineStr">
        <is>
          <t>Lámpara bola de cristal 3D</t>
        </is>
      </c>
      <c r="H2" s="19" t="inlineStr">
        <is>
          <t>Saturno</t>
        </is>
      </c>
      <c r="I2" s="19" t="n">
        <v>2</v>
      </c>
      <c r="J2" s="21">
        <f>IF(G2="","",IFERROR(INDEX(Parámetros!$B$8:$B$20,MATCH(G2,Parámetros!$A$8:$A$20,0)),""))</f>
        <v/>
      </c>
      <c r="K2" s="22" t="n">
        <v>9.9</v>
      </c>
      <c r="L2" s="22" t="n">
        <v>0</v>
      </c>
      <c r="M2" s="23">
        <f>IF(A2="","",I2*J2-K2+L2)</f>
        <v/>
      </c>
      <c r="N2" s="21">
        <f>IF(A2="","",IFERROR(I2*INDEX(Parámetros!$C$8:$C$20,MATCH(G2,Parámetros!$A$8:$A$20,0)),0))</f>
        <v/>
      </c>
      <c r="O2" s="21">
        <f>IF(A2="","",IFERROR(I2*INDEX(Parámetros!$D$8:$D$20,MATCH(G2,Parámetros!$A$8:$A$20,0)),0))</f>
        <v/>
      </c>
      <c r="P2" s="23">
        <f>IF(A2="","",M2*Parámetros!$B$3+Parámetros!$B$4)</f>
        <v/>
      </c>
      <c r="Q2" s="22" t="n">
        <v>6</v>
      </c>
      <c r="R2" s="23">
        <f>IF(A2="","",M2/1.21-N2-O2-P2-Q2)</f>
        <v/>
      </c>
      <c r="S2" s="24">
        <f>IF(OR(A2="",M2=0),"",R2/(M2/1.21))</f>
        <v/>
      </c>
      <c r="T2" s="19" t="inlineStr">
        <is>
          <t>Meta Ads</t>
        </is>
      </c>
      <c r="U2" s="19" t="inlineStr">
        <is>
          <t>Enviado</t>
        </is>
      </c>
      <c r="V2" s="19" t="inlineStr">
        <is>
          <t>DS-000000</t>
        </is>
      </c>
      <c r="W2" s="19" t="inlineStr">
        <is>
          <t>(nº de seguimiento)</t>
        </is>
      </c>
      <c r="X2" s="20" t="n">
        <v>46297</v>
      </c>
      <c r="Y2" s="20" t="n"/>
      <c r="Z2" s="19" t="inlineStr">
        <is>
          <t>Fila de ejemplo: 2 lámparas con la promo 2×39,90 €. Bórrala.</t>
        </is>
      </c>
    </row>
    <row r="3">
      <c r="A3" s="25" t="n"/>
      <c r="B3" s="26" t="n"/>
      <c r="C3" s="25" t="n"/>
      <c r="D3" s="25" t="n"/>
      <c r="E3" s="25" t="n"/>
      <c r="F3" s="25" t="n"/>
      <c r="G3" s="25" t="n"/>
      <c r="H3" s="25" t="n"/>
      <c r="I3" s="25" t="n"/>
      <c r="J3" s="27">
        <f>IF(G3="","",IFERROR(INDEX(Parámetros!$B$8:$B$20,MATCH(G3,Parámetros!$A$8:$A$20,0)),""))</f>
        <v/>
      </c>
      <c r="K3" s="16" t="n"/>
      <c r="L3" s="16" t="n"/>
      <c r="M3" s="28">
        <f>IF(A3="","",I3*J3-K3+L3)</f>
        <v/>
      </c>
      <c r="N3" s="27">
        <f>IF(A3="","",IFERROR(I3*INDEX(Parámetros!$C$8:$C$20,MATCH(G3,Parámetros!$A$8:$A$20,0)),0))</f>
        <v/>
      </c>
      <c r="O3" s="27">
        <f>IF(A3="","",IFERROR(I3*INDEX(Parámetros!$D$8:$D$20,MATCH(G3,Parámetros!$A$8:$A$20,0)),0))</f>
        <v/>
      </c>
      <c r="P3" s="28">
        <f>IF(A3="","",M3*Parámetros!$B$3+Parámetros!$B$4)</f>
        <v/>
      </c>
      <c r="Q3" s="16" t="n"/>
      <c r="R3" s="28">
        <f>IF(A3="","",M3/1.21-N3-O3-P3-Q3)</f>
        <v/>
      </c>
      <c r="S3" s="29">
        <f>IF(OR(A3="",M3=0),"",R3/(M3/1.21))</f>
        <v/>
      </c>
      <c r="T3" s="25" t="n"/>
      <c r="U3" s="25" t="n"/>
      <c r="V3" s="25" t="n"/>
      <c r="W3" s="25" t="n"/>
      <c r="X3" s="26" t="n"/>
      <c r="Y3" s="26" t="n"/>
      <c r="Z3" s="25" t="n"/>
    </row>
    <row r="4">
      <c r="A4" s="25" t="n"/>
      <c r="B4" s="26" t="n"/>
      <c r="C4" s="25" t="n"/>
      <c r="D4" s="25" t="n"/>
      <c r="E4" s="25" t="n"/>
      <c r="F4" s="25" t="n"/>
      <c r="G4" s="25" t="n"/>
      <c r="H4" s="25" t="n"/>
      <c r="I4" s="25" t="n"/>
      <c r="J4" s="27">
        <f>IF(G4="","",IFERROR(INDEX(Parámetros!$B$8:$B$20,MATCH(G4,Parámetros!$A$8:$A$20,0)),""))</f>
        <v/>
      </c>
      <c r="K4" s="16" t="n"/>
      <c r="L4" s="16" t="n"/>
      <c r="M4" s="28">
        <f>IF(A4="","",I4*J4-K4+L4)</f>
        <v/>
      </c>
      <c r="N4" s="27">
        <f>IF(A4="","",IFERROR(I4*INDEX(Parámetros!$C$8:$C$20,MATCH(G4,Parámetros!$A$8:$A$20,0)),0))</f>
        <v/>
      </c>
      <c r="O4" s="27">
        <f>IF(A4="","",IFERROR(I4*INDEX(Parámetros!$D$8:$D$20,MATCH(G4,Parámetros!$A$8:$A$20,0)),0))</f>
        <v/>
      </c>
      <c r="P4" s="28">
        <f>IF(A4="","",M4*Parámetros!$B$3+Parámetros!$B$4)</f>
        <v/>
      </c>
      <c r="Q4" s="16" t="n"/>
      <c r="R4" s="28">
        <f>IF(A4="","",M4/1.21-N4-O4-P4-Q4)</f>
        <v/>
      </c>
      <c r="S4" s="29">
        <f>IF(OR(A4="",M4=0),"",R4/(M4/1.21))</f>
        <v/>
      </c>
      <c r="T4" s="25" t="n"/>
      <c r="U4" s="25" t="n"/>
      <c r="V4" s="25" t="n"/>
      <c r="W4" s="25" t="n"/>
      <c r="X4" s="26" t="n"/>
      <c r="Y4" s="26" t="n"/>
      <c r="Z4" s="25" t="n"/>
    </row>
    <row r="5">
      <c r="A5" s="25" t="n"/>
      <c r="B5" s="26" t="n"/>
      <c r="C5" s="25" t="n"/>
      <c r="D5" s="25" t="n"/>
      <c r="E5" s="25" t="n"/>
      <c r="F5" s="25" t="n"/>
      <c r="G5" s="25" t="n"/>
      <c r="H5" s="25" t="n"/>
      <c r="I5" s="25" t="n"/>
      <c r="J5" s="27">
        <f>IF(G5="","",IFERROR(INDEX(Parámetros!$B$8:$B$20,MATCH(G5,Parámetros!$A$8:$A$20,0)),""))</f>
        <v/>
      </c>
      <c r="K5" s="16" t="n"/>
      <c r="L5" s="16" t="n"/>
      <c r="M5" s="28">
        <f>IF(A5="","",I5*J5-K5+L5)</f>
        <v/>
      </c>
      <c r="N5" s="27">
        <f>IF(A5="","",IFERROR(I5*INDEX(Parámetros!$C$8:$C$20,MATCH(G5,Parámetros!$A$8:$A$20,0)),0))</f>
        <v/>
      </c>
      <c r="O5" s="27">
        <f>IF(A5="","",IFERROR(I5*INDEX(Parámetros!$D$8:$D$20,MATCH(G5,Parámetros!$A$8:$A$20,0)),0))</f>
        <v/>
      </c>
      <c r="P5" s="28">
        <f>IF(A5="","",M5*Parámetros!$B$3+Parámetros!$B$4)</f>
        <v/>
      </c>
      <c r="Q5" s="16" t="n"/>
      <c r="R5" s="28">
        <f>IF(A5="","",M5/1.21-N5-O5-P5-Q5)</f>
        <v/>
      </c>
      <c r="S5" s="29">
        <f>IF(OR(A5="",M5=0),"",R5/(M5/1.21))</f>
        <v/>
      </c>
      <c r="T5" s="25" t="n"/>
      <c r="U5" s="25" t="n"/>
      <c r="V5" s="25" t="n"/>
      <c r="W5" s="25" t="n"/>
      <c r="X5" s="26" t="n"/>
      <c r="Y5" s="26" t="n"/>
      <c r="Z5" s="25" t="n"/>
    </row>
    <row r="6">
      <c r="A6" s="25" t="n"/>
      <c r="B6" s="26" t="n"/>
      <c r="C6" s="25" t="n"/>
      <c r="D6" s="25" t="n"/>
      <c r="E6" s="25" t="n"/>
      <c r="F6" s="25" t="n"/>
      <c r="G6" s="25" t="n"/>
      <c r="H6" s="25" t="n"/>
      <c r="I6" s="25" t="n"/>
      <c r="J6" s="27">
        <f>IF(G6="","",IFERROR(INDEX(Parámetros!$B$8:$B$20,MATCH(G6,Parámetros!$A$8:$A$20,0)),""))</f>
        <v/>
      </c>
      <c r="K6" s="16" t="n"/>
      <c r="L6" s="16" t="n"/>
      <c r="M6" s="28">
        <f>IF(A6="","",I6*J6-K6+L6)</f>
        <v/>
      </c>
      <c r="N6" s="27">
        <f>IF(A6="","",IFERROR(I6*INDEX(Parámetros!$C$8:$C$20,MATCH(G6,Parámetros!$A$8:$A$20,0)),0))</f>
        <v/>
      </c>
      <c r="O6" s="27">
        <f>IF(A6="","",IFERROR(I6*INDEX(Parámetros!$D$8:$D$20,MATCH(G6,Parámetros!$A$8:$A$20,0)),0))</f>
        <v/>
      </c>
      <c r="P6" s="28">
        <f>IF(A6="","",M6*Parámetros!$B$3+Parámetros!$B$4)</f>
        <v/>
      </c>
      <c r="Q6" s="16" t="n"/>
      <c r="R6" s="28">
        <f>IF(A6="","",M6/1.21-N6-O6-P6-Q6)</f>
        <v/>
      </c>
      <c r="S6" s="29">
        <f>IF(OR(A6="",M6=0),"",R6/(M6/1.21))</f>
        <v/>
      </c>
      <c r="T6" s="25" t="n"/>
      <c r="U6" s="25" t="n"/>
      <c r="V6" s="25" t="n"/>
      <c r="W6" s="25" t="n"/>
      <c r="X6" s="26" t="n"/>
      <c r="Y6" s="26" t="n"/>
      <c r="Z6" s="25" t="n"/>
    </row>
    <row r="7">
      <c r="A7" s="25" t="n"/>
      <c r="B7" s="26" t="n"/>
      <c r="C7" s="25" t="n"/>
      <c r="D7" s="25" t="n"/>
      <c r="E7" s="25" t="n"/>
      <c r="F7" s="25" t="n"/>
      <c r="G7" s="25" t="n"/>
      <c r="H7" s="25" t="n"/>
      <c r="I7" s="25" t="n"/>
      <c r="J7" s="27">
        <f>IF(G7="","",IFERROR(INDEX(Parámetros!$B$8:$B$20,MATCH(G7,Parámetros!$A$8:$A$20,0)),""))</f>
        <v/>
      </c>
      <c r="K7" s="16" t="n"/>
      <c r="L7" s="16" t="n"/>
      <c r="M7" s="28">
        <f>IF(A7="","",I7*J7-K7+L7)</f>
        <v/>
      </c>
      <c r="N7" s="27">
        <f>IF(A7="","",IFERROR(I7*INDEX(Parámetros!$C$8:$C$20,MATCH(G7,Parámetros!$A$8:$A$20,0)),0))</f>
        <v/>
      </c>
      <c r="O7" s="27">
        <f>IF(A7="","",IFERROR(I7*INDEX(Parámetros!$D$8:$D$20,MATCH(G7,Parámetros!$A$8:$A$20,0)),0))</f>
        <v/>
      </c>
      <c r="P7" s="28">
        <f>IF(A7="","",M7*Parámetros!$B$3+Parámetros!$B$4)</f>
        <v/>
      </c>
      <c r="Q7" s="16" t="n"/>
      <c r="R7" s="28">
        <f>IF(A7="","",M7/1.21-N7-O7-P7-Q7)</f>
        <v/>
      </c>
      <c r="S7" s="29">
        <f>IF(OR(A7="",M7=0),"",R7/(M7/1.21))</f>
        <v/>
      </c>
      <c r="T7" s="25" t="n"/>
      <c r="U7" s="25" t="n"/>
      <c r="V7" s="25" t="n"/>
      <c r="W7" s="25" t="n"/>
      <c r="X7" s="26" t="n"/>
      <c r="Y7" s="26" t="n"/>
      <c r="Z7" s="25" t="n"/>
    </row>
    <row r="8">
      <c r="A8" s="25" t="n"/>
      <c r="B8" s="26" t="n"/>
      <c r="C8" s="25" t="n"/>
      <c r="D8" s="25" t="n"/>
      <c r="E8" s="25" t="n"/>
      <c r="F8" s="25" t="n"/>
      <c r="G8" s="25" t="n"/>
      <c r="H8" s="25" t="n"/>
      <c r="I8" s="25" t="n"/>
      <c r="J8" s="27">
        <f>IF(G8="","",IFERROR(INDEX(Parámetros!$B$8:$B$20,MATCH(G8,Parámetros!$A$8:$A$20,0)),""))</f>
        <v/>
      </c>
      <c r="K8" s="16" t="n"/>
      <c r="L8" s="16" t="n"/>
      <c r="M8" s="28">
        <f>IF(A8="","",I8*J8-K8+L8)</f>
        <v/>
      </c>
      <c r="N8" s="27">
        <f>IF(A8="","",IFERROR(I8*INDEX(Parámetros!$C$8:$C$20,MATCH(G8,Parámetros!$A$8:$A$20,0)),0))</f>
        <v/>
      </c>
      <c r="O8" s="27">
        <f>IF(A8="","",IFERROR(I8*INDEX(Parámetros!$D$8:$D$20,MATCH(G8,Parámetros!$A$8:$A$20,0)),0))</f>
        <v/>
      </c>
      <c r="P8" s="28">
        <f>IF(A8="","",M8*Parámetros!$B$3+Parámetros!$B$4)</f>
        <v/>
      </c>
      <c r="Q8" s="16" t="n"/>
      <c r="R8" s="28">
        <f>IF(A8="","",M8/1.21-N8-O8-P8-Q8)</f>
        <v/>
      </c>
      <c r="S8" s="29">
        <f>IF(OR(A8="",M8=0),"",R8/(M8/1.21))</f>
        <v/>
      </c>
      <c r="T8" s="25" t="n"/>
      <c r="U8" s="25" t="n"/>
      <c r="V8" s="25" t="n"/>
      <c r="W8" s="25" t="n"/>
      <c r="X8" s="26" t="n"/>
      <c r="Y8" s="26" t="n"/>
      <c r="Z8" s="25" t="n"/>
    </row>
    <row r="9">
      <c r="A9" s="25" t="n"/>
      <c r="B9" s="26" t="n"/>
      <c r="C9" s="25" t="n"/>
      <c r="D9" s="25" t="n"/>
      <c r="E9" s="25" t="n"/>
      <c r="F9" s="25" t="n"/>
      <c r="G9" s="25" t="n"/>
      <c r="H9" s="25" t="n"/>
      <c r="I9" s="25" t="n"/>
      <c r="J9" s="27">
        <f>IF(G9="","",IFERROR(INDEX(Parámetros!$B$8:$B$20,MATCH(G9,Parámetros!$A$8:$A$20,0)),""))</f>
        <v/>
      </c>
      <c r="K9" s="16" t="n"/>
      <c r="L9" s="16" t="n"/>
      <c r="M9" s="28">
        <f>IF(A9="","",I9*J9-K9+L9)</f>
        <v/>
      </c>
      <c r="N9" s="27">
        <f>IF(A9="","",IFERROR(I9*INDEX(Parámetros!$C$8:$C$20,MATCH(G9,Parámetros!$A$8:$A$20,0)),0))</f>
        <v/>
      </c>
      <c r="O9" s="27">
        <f>IF(A9="","",IFERROR(I9*INDEX(Parámetros!$D$8:$D$20,MATCH(G9,Parámetros!$A$8:$A$20,0)),0))</f>
        <v/>
      </c>
      <c r="P9" s="28">
        <f>IF(A9="","",M9*Parámetros!$B$3+Parámetros!$B$4)</f>
        <v/>
      </c>
      <c r="Q9" s="16" t="n"/>
      <c r="R9" s="28">
        <f>IF(A9="","",M9/1.21-N9-O9-P9-Q9)</f>
        <v/>
      </c>
      <c r="S9" s="29">
        <f>IF(OR(A9="",M9=0),"",R9/(M9/1.21))</f>
        <v/>
      </c>
      <c r="T9" s="25" t="n"/>
      <c r="U9" s="25" t="n"/>
      <c r="V9" s="25" t="n"/>
      <c r="W9" s="25" t="n"/>
      <c r="X9" s="26" t="n"/>
      <c r="Y9" s="26" t="n"/>
      <c r="Z9" s="25" t="n"/>
    </row>
    <row r="10">
      <c r="A10" s="25" t="n"/>
      <c r="B10" s="26" t="n"/>
      <c r="C10" s="25" t="n"/>
      <c r="D10" s="25" t="n"/>
      <c r="E10" s="25" t="n"/>
      <c r="F10" s="25" t="n"/>
      <c r="G10" s="25" t="n"/>
      <c r="H10" s="25" t="n"/>
      <c r="I10" s="25" t="n"/>
      <c r="J10" s="27">
        <f>IF(G10="","",IFERROR(INDEX(Parámetros!$B$8:$B$20,MATCH(G10,Parámetros!$A$8:$A$20,0)),""))</f>
        <v/>
      </c>
      <c r="K10" s="16" t="n"/>
      <c r="L10" s="16" t="n"/>
      <c r="M10" s="28">
        <f>IF(A10="","",I10*J10-K10+L10)</f>
        <v/>
      </c>
      <c r="N10" s="27">
        <f>IF(A10="","",IFERROR(I10*INDEX(Parámetros!$C$8:$C$20,MATCH(G10,Parámetros!$A$8:$A$20,0)),0))</f>
        <v/>
      </c>
      <c r="O10" s="27">
        <f>IF(A10="","",IFERROR(I10*INDEX(Parámetros!$D$8:$D$20,MATCH(G10,Parámetros!$A$8:$A$20,0)),0))</f>
        <v/>
      </c>
      <c r="P10" s="28">
        <f>IF(A10="","",M10*Parámetros!$B$3+Parámetros!$B$4)</f>
        <v/>
      </c>
      <c r="Q10" s="16" t="n"/>
      <c r="R10" s="28">
        <f>IF(A10="","",M10/1.21-N10-O10-P10-Q10)</f>
        <v/>
      </c>
      <c r="S10" s="29">
        <f>IF(OR(A10="",M10=0),"",R10/(M10/1.21))</f>
        <v/>
      </c>
      <c r="T10" s="25" t="n"/>
      <c r="U10" s="25" t="n"/>
      <c r="V10" s="25" t="n"/>
      <c r="W10" s="25" t="n"/>
      <c r="X10" s="26" t="n"/>
      <c r="Y10" s="26" t="n"/>
      <c r="Z10" s="25" t="n"/>
    </row>
    <row r="11">
      <c r="A11" s="25" t="n"/>
      <c r="B11" s="26" t="n"/>
      <c r="C11" s="25" t="n"/>
      <c r="D11" s="25" t="n"/>
      <c r="E11" s="25" t="n"/>
      <c r="F11" s="25" t="n"/>
      <c r="G11" s="25" t="n"/>
      <c r="H11" s="25" t="n"/>
      <c r="I11" s="25" t="n"/>
      <c r="J11" s="27">
        <f>IF(G11="","",IFERROR(INDEX(Parámetros!$B$8:$B$20,MATCH(G11,Parámetros!$A$8:$A$20,0)),""))</f>
        <v/>
      </c>
      <c r="K11" s="16" t="n"/>
      <c r="L11" s="16" t="n"/>
      <c r="M11" s="28">
        <f>IF(A11="","",I11*J11-K11+L11)</f>
        <v/>
      </c>
      <c r="N11" s="27">
        <f>IF(A11="","",IFERROR(I11*INDEX(Parámetros!$C$8:$C$20,MATCH(G11,Parámetros!$A$8:$A$20,0)),0))</f>
        <v/>
      </c>
      <c r="O11" s="27">
        <f>IF(A11="","",IFERROR(I11*INDEX(Parámetros!$D$8:$D$20,MATCH(G11,Parámetros!$A$8:$A$20,0)),0))</f>
        <v/>
      </c>
      <c r="P11" s="28">
        <f>IF(A11="","",M11*Parámetros!$B$3+Parámetros!$B$4)</f>
        <v/>
      </c>
      <c r="Q11" s="16" t="n"/>
      <c r="R11" s="28">
        <f>IF(A11="","",M11/1.21-N11-O11-P11-Q11)</f>
        <v/>
      </c>
      <c r="S11" s="29">
        <f>IF(OR(A11="",M11=0),"",R11/(M11/1.21))</f>
        <v/>
      </c>
      <c r="T11" s="25" t="n"/>
      <c r="U11" s="25" t="n"/>
      <c r="V11" s="25" t="n"/>
      <c r="W11" s="25" t="n"/>
      <c r="X11" s="26" t="n"/>
      <c r="Y11" s="26" t="n"/>
      <c r="Z11" s="25" t="n"/>
    </row>
    <row r="12">
      <c r="A12" s="25" t="n"/>
      <c r="B12" s="26" t="n"/>
      <c r="C12" s="25" t="n"/>
      <c r="D12" s="25" t="n"/>
      <c r="E12" s="25" t="n"/>
      <c r="F12" s="25" t="n"/>
      <c r="G12" s="25" t="n"/>
      <c r="H12" s="25" t="n"/>
      <c r="I12" s="25" t="n"/>
      <c r="J12" s="27">
        <f>IF(G12="","",IFERROR(INDEX(Parámetros!$B$8:$B$20,MATCH(G12,Parámetros!$A$8:$A$20,0)),""))</f>
        <v/>
      </c>
      <c r="K12" s="16" t="n"/>
      <c r="L12" s="16" t="n"/>
      <c r="M12" s="28">
        <f>IF(A12="","",I12*J12-K12+L12)</f>
        <v/>
      </c>
      <c r="N12" s="27">
        <f>IF(A12="","",IFERROR(I12*INDEX(Parámetros!$C$8:$C$20,MATCH(G12,Parámetros!$A$8:$A$20,0)),0))</f>
        <v/>
      </c>
      <c r="O12" s="27">
        <f>IF(A12="","",IFERROR(I12*INDEX(Parámetros!$D$8:$D$20,MATCH(G12,Parámetros!$A$8:$A$20,0)),0))</f>
        <v/>
      </c>
      <c r="P12" s="28">
        <f>IF(A12="","",M12*Parámetros!$B$3+Parámetros!$B$4)</f>
        <v/>
      </c>
      <c r="Q12" s="16" t="n"/>
      <c r="R12" s="28">
        <f>IF(A12="","",M12/1.21-N12-O12-P12-Q12)</f>
        <v/>
      </c>
      <c r="S12" s="29">
        <f>IF(OR(A12="",M12=0),"",R12/(M12/1.21))</f>
        <v/>
      </c>
      <c r="T12" s="25" t="n"/>
      <c r="U12" s="25" t="n"/>
      <c r="V12" s="25" t="n"/>
      <c r="W12" s="25" t="n"/>
      <c r="X12" s="26" t="n"/>
      <c r="Y12" s="26" t="n"/>
      <c r="Z12" s="25" t="n"/>
    </row>
    <row r="13">
      <c r="A13" s="25" t="n"/>
      <c r="B13" s="26" t="n"/>
      <c r="C13" s="25" t="n"/>
      <c r="D13" s="25" t="n"/>
      <c r="E13" s="25" t="n"/>
      <c r="F13" s="25" t="n"/>
      <c r="G13" s="25" t="n"/>
      <c r="H13" s="25" t="n"/>
      <c r="I13" s="25" t="n"/>
      <c r="J13" s="27">
        <f>IF(G13="","",IFERROR(INDEX(Parámetros!$B$8:$B$20,MATCH(G13,Parámetros!$A$8:$A$20,0)),""))</f>
        <v/>
      </c>
      <c r="K13" s="16" t="n"/>
      <c r="L13" s="16" t="n"/>
      <c r="M13" s="28">
        <f>IF(A13="","",I13*J13-K13+L13)</f>
        <v/>
      </c>
      <c r="N13" s="27">
        <f>IF(A13="","",IFERROR(I13*INDEX(Parámetros!$C$8:$C$20,MATCH(G13,Parámetros!$A$8:$A$20,0)),0))</f>
        <v/>
      </c>
      <c r="O13" s="27">
        <f>IF(A13="","",IFERROR(I13*INDEX(Parámetros!$D$8:$D$20,MATCH(G13,Parámetros!$A$8:$A$20,0)),0))</f>
        <v/>
      </c>
      <c r="P13" s="28">
        <f>IF(A13="","",M13*Parámetros!$B$3+Parámetros!$B$4)</f>
        <v/>
      </c>
      <c r="Q13" s="16" t="n"/>
      <c r="R13" s="28">
        <f>IF(A13="","",M13/1.21-N13-O13-P13-Q13)</f>
        <v/>
      </c>
      <c r="S13" s="29">
        <f>IF(OR(A13="",M13=0),"",R13/(M13/1.21))</f>
        <v/>
      </c>
      <c r="T13" s="25" t="n"/>
      <c r="U13" s="25" t="n"/>
      <c r="V13" s="25" t="n"/>
      <c r="W13" s="25" t="n"/>
      <c r="X13" s="26" t="n"/>
      <c r="Y13" s="26" t="n"/>
      <c r="Z13" s="25" t="n"/>
    </row>
    <row r="14">
      <c r="A14" s="25" t="n"/>
      <c r="B14" s="26" t="n"/>
      <c r="C14" s="25" t="n"/>
      <c r="D14" s="25" t="n"/>
      <c r="E14" s="25" t="n"/>
      <c r="F14" s="25" t="n"/>
      <c r="G14" s="25" t="n"/>
      <c r="H14" s="25" t="n"/>
      <c r="I14" s="25" t="n"/>
      <c r="J14" s="27">
        <f>IF(G14="","",IFERROR(INDEX(Parámetros!$B$8:$B$20,MATCH(G14,Parámetros!$A$8:$A$20,0)),""))</f>
        <v/>
      </c>
      <c r="K14" s="16" t="n"/>
      <c r="L14" s="16" t="n"/>
      <c r="M14" s="28">
        <f>IF(A14="","",I14*J14-K14+L14)</f>
        <v/>
      </c>
      <c r="N14" s="27">
        <f>IF(A14="","",IFERROR(I14*INDEX(Parámetros!$C$8:$C$20,MATCH(G14,Parámetros!$A$8:$A$20,0)),0))</f>
        <v/>
      </c>
      <c r="O14" s="27">
        <f>IF(A14="","",IFERROR(I14*INDEX(Parámetros!$D$8:$D$20,MATCH(G14,Parámetros!$A$8:$A$20,0)),0))</f>
        <v/>
      </c>
      <c r="P14" s="28">
        <f>IF(A14="","",M14*Parámetros!$B$3+Parámetros!$B$4)</f>
        <v/>
      </c>
      <c r="Q14" s="16" t="n"/>
      <c r="R14" s="28">
        <f>IF(A14="","",M14/1.21-N14-O14-P14-Q14)</f>
        <v/>
      </c>
      <c r="S14" s="29">
        <f>IF(OR(A14="",M14=0),"",R14/(M14/1.21))</f>
        <v/>
      </c>
      <c r="T14" s="25" t="n"/>
      <c r="U14" s="25" t="n"/>
      <c r="V14" s="25" t="n"/>
      <c r="W14" s="25" t="n"/>
      <c r="X14" s="26" t="n"/>
      <c r="Y14" s="26" t="n"/>
      <c r="Z14" s="25" t="n"/>
    </row>
    <row r="15">
      <c r="A15" s="25" t="n"/>
      <c r="B15" s="26" t="n"/>
      <c r="C15" s="25" t="n"/>
      <c r="D15" s="25" t="n"/>
      <c r="E15" s="25" t="n"/>
      <c r="F15" s="25" t="n"/>
      <c r="G15" s="25" t="n"/>
      <c r="H15" s="25" t="n"/>
      <c r="I15" s="25" t="n"/>
      <c r="J15" s="27">
        <f>IF(G15="","",IFERROR(INDEX(Parámetros!$B$8:$B$20,MATCH(G15,Parámetros!$A$8:$A$20,0)),""))</f>
        <v/>
      </c>
      <c r="K15" s="16" t="n"/>
      <c r="L15" s="16" t="n"/>
      <c r="M15" s="28">
        <f>IF(A15="","",I15*J15-K15+L15)</f>
        <v/>
      </c>
      <c r="N15" s="27">
        <f>IF(A15="","",IFERROR(I15*INDEX(Parámetros!$C$8:$C$20,MATCH(G15,Parámetros!$A$8:$A$20,0)),0))</f>
        <v/>
      </c>
      <c r="O15" s="27">
        <f>IF(A15="","",IFERROR(I15*INDEX(Parámetros!$D$8:$D$20,MATCH(G15,Parámetros!$A$8:$A$20,0)),0))</f>
        <v/>
      </c>
      <c r="P15" s="28">
        <f>IF(A15="","",M15*Parámetros!$B$3+Parámetros!$B$4)</f>
        <v/>
      </c>
      <c r="Q15" s="16" t="n"/>
      <c r="R15" s="28">
        <f>IF(A15="","",M15/1.21-N15-O15-P15-Q15)</f>
        <v/>
      </c>
      <c r="S15" s="29">
        <f>IF(OR(A15="",M15=0),"",R15/(M15/1.21))</f>
        <v/>
      </c>
      <c r="T15" s="25" t="n"/>
      <c r="U15" s="25" t="n"/>
      <c r="V15" s="25" t="n"/>
      <c r="W15" s="25" t="n"/>
      <c r="X15" s="26" t="n"/>
      <c r="Y15" s="26" t="n"/>
      <c r="Z15" s="25" t="n"/>
    </row>
    <row r="16">
      <c r="A16" s="25" t="n"/>
      <c r="B16" s="26" t="n"/>
      <c r="C16" s="25" t="n"/>
      <c r="D16" s="25" t="n"/>
      <c r="E16" s="25" t="n"/>
      <c r="F16" s="25" t="n"/>
      <c r="G16" s="25" t="n"/>
      <c r="H16" s="25" t="n"/>
      <c r="I16" s="25" t="n"/>
      <c r="J16" s="27">
        <f>IF(G16="","",IFERROR(INDEX(Parámetros!$B$8:$B$20,MATCH(G16,Parámetros!$A$8:$A$20,0)),""))</f>
        <v/>
      </c>
      <c r="K16" s="16" t="n"/>
      <c r="L16" s="16" t="n"/>
      <c r="M16" s="28">
        <f>IF(A16="","",I16*J16-K16+L16)</f>
        <v/>
      </c>
      <c r="N16" s="27">
        <f>IF(A16="","",IFERROR(I16*INDEX(Parámetros!$C$8:$C$20,MATCH(G16,Parámetros!$A$8:$A$20,0)),0))</f>
        <v/>
      </c>
      <c r="O16" s="27">
        <f>IF(A16="","",IFERROR(I16*INDEX(Parámetros!$D$8:$D$20,MATCH(G16,Parámetros!$A$8:$A$20,0)),0))</f>
        <v/>
      </c>
      <c r="P16" s="28">
        <f>IF(A16="","",M16*Parámetros!$B$3+Parámetros!$B$4)</f>
        <v/>
      </c>
      <c r="Q16" s="16" t="n"/>
      <c r="R16" s="28">
        <f>IF(A16="","",M16/1.21-N16-O16-P16-Q16)</f>
        <v/>
      </c>
      <c r="S16" s="29">
        <f>IF(OR(A16="",M16=0),"",R16/(M16/1.21))</f>
        <v/>
      </c>
      <c r="T16" s="25" t="n"/>
      <c r="U16" s="25" t="n"/>
      <c r="V16" s="25" t="n"/>
      <c r="W16" s="25" t="n"/>
      <c r="X16" s="26" t="n"/>
      <c r="Y16" s="26" t="n"/>
      <c r="Z16" s="25" t="n"/>
    </row>
    <row r="17">
      <c r="A17" s="25" t="n"/>
      <c r="B17" s="26" t="n"/>
      <c r="C17" s="25" t="n"/>
      <c r="D17" s="25" t="n"/>
      <c r="E17" s="25" t="n"/>
      <c r="F17" s="25" t="n"/>
      <c r="G17" s="25" t="n"/>
      <c r="H17" s="25" t="n"/>
      <c r="I17" s="25" t="n"/>
      <c r="J17" s="27">
        <f>IF(G17="","",IFERROR(INDEX(Parámetros!$B$8:$B$20,MATCH(G17,Parámetros!$A$8:$A$20,0)),""))</f>
        <v/>
      </c>
      <c r="K17" s="16" t="n"/>
      <c r="L17" s="16" t="n"/>
      <c r="M17" s="28">
        <f>IF(A17="","",I17*J17-K17+L17)</f>
        <v/>
      </c>
      <c r="N17" s="27">
        <f>IF(A17="","",IFERROR(I17*INDEX(Parámetros!$C$8:$C$20,MATCH(G17,Parámetros!$A$8:$A$20,0)),0))</f>
        <v/>
      </c>
      <c r="O17" s="27">
        <f>IF(A17="","",IFERROR(I17*INDEX(Parámetros!$D$8:$D$20,MATCH(G17,Parámetros!$A$8:$A$20,0)),0))</f>
        <v/>
      </c>
      <c r="P17" s="28">
        <f>IF(A17="","",M17*Parámetros!$B$3+Parámetros!$B$4)</f>
        <v/>
      </c>
      <c r="Q17" s="16" t="n"/>
      <c r="R17" s="28">
        <f>IF(A17="","",M17/1.21-N17-O17-P17-Q17)</f>
        <v/>
      </c>
      <c r="S17" s="29">
        <f>IF(OR(A17="",M17=0),"",R17/(M17/1.21))</f>
        <v/>
      </c>
      <c r="T17" s="25" t="n"/>
      <c r="U17" s="25" t="n"/>
      <c r="V17" s="25" t="n"/>
      <c r="W17" s="25" t="n"/>
      <c r="X17" s="26" t="n"/>
      <c r="Y17" s="26" t="n"/>
      <c r="Z17" s="25" t="n"/>
    </row>
    <row r="18">
      <c r="A18" s="25" t="n"/>
      <c r="B18" s="26" t="n"/>
      <c r="C18" s="25" t="n"/>
      <c r="D18" s="25" t="n"/>
      <c r="E18" s="25" t="n"/>
      <c r="F18" s="25" t="n"/>
      <c r="G18" s="25" t="n"/>
      <c r="H18" s="25" t="n"/>
      <c r="I18" s="25" t="n"/>
      <c r="J18" s="27">
        <f>IF(G18="","",IFERROR(INDEX(Parámetros!$B$8:$B$20,MATCH(G18,Parámetros!$A$8:$A$20,0)),""))</f>
        <v/>
      </c>
      <c r="K18" s="16" t="n"/>
      <c r="L18" s="16" t="n"/>
      <c r="M18" s="28">
        <f>IF(A18="","",I18*J18-K18+L18)</f>
        <v/>
      </c>
      <c r="N18" s="27">
        <f>IF(A18="","",IFERROR(I18*INDEX(Parámetros!$C$8:$C$20,MATCH(G18,Parámetros!$A$8:$A$20,0)),0))</f>
        <v/>
      </c>
      <c r="O18" s="27">
        <f>IF(A18="","",IFERROR(I18*INDEX(Parámetros!$D$8:$D$20,MATCH(G18,Parámetros!$A$8:$A$20,0)),0))</f>
        <v/>
      </c>
      <c r="P18" s="28">
        <f>IF(A18="","",M18*Parámetros!$B$3+Parámetros!$B$4)</f>
        <v/>
      </c>
      <c r="Q18" s="16" t="n"/>
      <c r="R18" s="28">
        <f>IF(A18="","",M18/1.21-N18-O18-P18-Q18)</f>
        <v/>
      </c>
      <c r="S18" s="29">
        <f>IF(OR(A18="",M18=0),"",R18/(M18/1.21))</f>
        <v/>
      </c>
      <c r="T18" s="25" t="n"/>
      <c r="U18" s="25" t="n"/>
      <c r="V18" s="25" t="n"/>
      <c r="W18" s="25" t="n"/>
      <c r="X18" s="26" t="n"/>
      <c r="Y18" s="26" t="n"/>
      <c r="Z18" s="25" t="n"/>
    </row>
    <row r="19">
      <c r="A19" s="25" t="n"/>
      <c r="B19" s="26" t="n"/>
      <c r="C19" s="25" t="n"/>
      <c r="D19" s="25" t="n"/>
      <c r="E19" s="25" t="n"/>
      <c r="F19" s="25" t="n"/>
      <c r="G19" s="25" t="n"/>
      <c r="H19" s="25" t="n"/>
      <c r="I19" s="25" t="n"/>
      <c r="J19" s="27">
        <f>IF(G19="","",IFERROR(INDEX(Parámetros!$B$8:$B$20,MATCH(G19,Parámetros!$A$8:$A$20,0)),""))</f>
        <v/>
      </c>
      <c r="K19" s="16" t="n"/>
      <c r="L19" s="16" t="n"/>
      <c r="M19" s="28">
        <f>IF(A19="","",I19*J19-K19+L19)</f>
        <v/>
      </c>
      <c r="N19" s="27">
        <f>IF(A19="","",IFERROR(I19*INDEX(Parámetros!$C$8:$C$20,MATCH(G19,Parámetros!$A$8:$A$20,0)),0))</f>
        <v/>
      </c>
      <c r="O19" s="27">
        <f>IF(A19="","",IFERROR(I19*INDEX(Parámetros!$D$8:$D$20,MATCH(G19,Parámetros!$A$8:$A$20,0)),0))</f>
        <v/>
      </c>
      <c r="P19" s="28">
        <f>IF(A19="","",M19*Parámetros!$B$3+Parámetros!$B$4)</f>
        <v/>
      </c>
      <c r="Q19" s="16" t="n"/>
      <c r="R19" s="28">
        <f>IF(A19="","",M19/1.21-N19-O19-P19-Q19)</f>
        <v/>
      </c>
      <c r="S19" s="29">
        <f>IF(OR(A19="",M19=0),"",R19/(M19/1.21))</f>
        <v/>
      </c>
      <c r="T19" s="25" t="n"/>
      <c r="U19" s="25" t="n"/>
      <c r="V19" s="25" t="n"/>
      <c r="W19" s="25" t="n"/>
      <c r="X19" s="26" t="n"/>
      <c r="Y19" s="26" t="n"/>
      <c r="Z19" s="25" t="n"/>
    </row>
    <row r="20">
      <c r="A20" s="25" t="n"/>
      <c r="B20" s="26" t="n"/>
      <c r="C20" s="25" t="n"/>
      <c r="D20" s="25" t="n"/>
      <c r="E20" s="25" t="n"/>
      <c r="F20" s="25" t="n"/>
      <c r="G20" s="25" t="n"/>
      <c r="H20" s="25" t="n"/>
      <c r="I20" s="25" t="n"/>
      <c r="J20" s="27">
        <f>IF(G20="","",IFERROR(INDEX(Parámetros!$B$8:$B$20,MATCH(G20,Parámetros!$A$8:$A$20,0)),""))</f>
        <v/>
      </c>
      <c r="K20" s="16" t="n"/>
      <c r="L20" s="16" t="n"/>
      <c r="M20" s="28">
        <f>IF(A20="","",I20*J20-K20+L20)</f>
        <v/>
      </c>
      <c r="N20" s="27">
        <f>IF(A20="","",IFERROR(I20*INDEX(Parámetros!$C$8:$C$20,MATCH(G20,Parámetros!$A$8:$A$20,0)),0))</f>
        <v/>
      </c>
      <c r="O20" s="27">
        <f>IF(A20="","",IFERROR(I20*INDEX(Parámetros!$D$8:$D$20,MATCH(G20,Parámetros!$A$8:$A$20,0)),0))</f>
        <v/>
      </c>
      <c r="P20" s="28">
        <f>IF(A20="","",M20*Parámetros!$B$3+Parámetros!$B$4)</f>
        <v/>
      </c>
      <c r="Q20" s="16" t="n"/>
      <c r="R20" s="28">
        <f>IF(A20="","",M20/1.21-N20-O20-P20-Q20)</f>
        <v/>
      </c>
      <c r="S20" s="29">
        <f>IF(OR(A20="",M20=0),"",R20/(M20/1.21))</f>
        <v/>
      </c>
      <c r="T20" s="25" t="n"/>
      <c r="U20" s="25" t="n"/>
      <c r="V20" s="25" t="n"/>
      <c r="W20" s="25" t="n"/>
      <c r="X20" s="26" t="n"/>
      <c r="Y20" s="26" t="n"/>
      <c r="Z20" s="25" t="n"/>
    </row>
    <row r="21">
      <c r="A21" s="25" t="n"/>
      <c r="B21" s="26" t="n"/>
      <c r="C21" s="25" t="n"/>
      <c r="D21" s="25" t="n"/>
      <c r="E21" s="25" t="n"/>
      <c r="F21" s="25" t="n"/>
      <c r="G21" s="25" t="n"/>
      <c r="H21" s="25" t="n"/>
      <c r="I21" s="25" t="n"/>
      <c r="J21" s="27">
        <f>IF(G21="","",IFERROR(INDEX(Parámetros!$B$8:$B$20,MATCH(G21,Parámetros!$A$8:$A$20,0)),""))</f>
        <v/>
      </c>
      <c r="K21" s="16" t="n"/>
      <c r="L21" s="16" t="n"/>
      <c r="M21" s="28">
        <f>IF(A21="","",I21*J21-K21+L21)</f>
        <v/>
      </c>
      <c r="N21" s="27">
        <f>IF(A21="","",IFERROR(I21*INDEX(Parámetros!$C$8:$C$20,MATCH(G21,Parámetros!$A$8:$A$20,0)),0))</f>
        <v/>
      </c>
      <c r="O21" s="27">
        <f>IF(A21="","",IFERROR(I21*INDEX(Parámetros!$D$8:$D$20,MATCH(G21,Parámetros!$A$8:$A$20,0)),0))</f>
        <v/>
      </c>
      <c r="P21" s="28">
        <f>IF(A21="","",M21*Parámetros!$B$3+Parámetros!$B$4)</f>
        <v/>
      </c>
      <c r="Q21" s="16" t="n"/>
      <c r="R21" s="28">
        <f>IF(A21="","",M21/1.21-N21-O21-P21-Q21)</f>
        <v/>
      </c>
      <c r="S21" s="29">
        <f>IF(OR(A21="",M21=0),"",R21/(M21/1.21))</f>
        <v/>
      </c>
      <c r="T21" s="25" t="n"/>
      <c r="U21" s="25" t="n"/>
      <c r="V21" s="25" t="n"/>
      <c r="W21" s="25" t="n"/>
      <c r="X21" s="26" t="n"/>
      <c r="Y21" s="26" t="n"/>
      <c r="Z21" s="25" t="n"/>
    </row>
    <row r="22">
      <c r="A22" s="25" t="n"/>
      <c r="B22" s="26" t="n"/>
      <c r="C22" s="25" t="n"/>
      <c r="D22" s="25" t="n"/>
      <c r="E22" s="25" t="n"/>
      <c r="F22" s="25" t="n"/>
      <c r="G22" s="25" t="n"/>
      <c r="H22" s="25" t="n"/>
      <c r="I22" s="25" t="n"/>
      <c r="J22" s="27">
        <f>IF(G22="","",IFERROR(INDEX(Parámetros!$B$8:$B$20,MATCH(G22,Parámetros!$A$8:$A$20,0)),""))</f>
        <v/>
      </c>
      <c r="K22" s="16" t="n"/>
      <c r="L22" s="16" t="n"/>
      <c r="M22" s="28">
        <f>IF(A22="","",I22*J22-K22+L22)</f>
        <v/>
      </c>
      <c r="N22" s="27">
        <f>IF(A22="","",IFERROR(I22*INDEX(Parámetros!$C$8:$C$20,MATCH(G22,Parámetros!$A$8:$A$20,0)),0))</f>
        <v/>
      </c>
      <c r="O22" s="27">
        <f>IF(A22="","",IFERROR(I22*INDEX(Parámetros!$D$8:$D$20,MATCH(G22,Parámetros!$A$8:$A$20,0)),0))</f>
        <v/>
      </c>
      <c r="P22" s="28">
        <f>IF(A22="","",M22*Parámetros!$B$3+Parámetros!$B$4)</f>
        <v/>
      </c>
      <c r="Q22" s="16" t="n"/>
      <c r="R22" s="28">
        <f>IF(A22="","",M22/1.21-N22-O22-P22-Q22)</f>
        <v/>
      </c>
      <c r="S22" s="29">
        <f>IF(OR(A22="",M22=0),"",R22/(M22/1.21))</f>
        <v/>
      </c>
      <c r="T22" s="25" t="n"/>
      <c r="U22" s="25" t="n"/>
      <c r="V22" s="25" t="n"/>
      <c r="W22" s="25" t="n"/>
      <c r="X22" s="26" t="n"/>
      <c r="Y22" s="26" t="n"/>
      <c r="Z22" s="25" t="n"/>
    </row>
    <row r="23">
      <c r="A23" s="25" t="n"/>
      <c r="B23" s="26" t="n"/>
      <c r="C23" s="25" t="n"/>
      <c r="D23" s="25" t="n"/>
      <c r="E23" s="25" t="n"/>
      <c r="F23" s="25" t="n"/>
      <c r="G23" s="25" t="n"/>
      <c r="H23" s="25" t="n"/>
      <c r="I23" s="25" t="n"/>
      <c r="J23" s="27">
        <f>IF(G23="","",IFERROR(INDEX(Parámetros!$B$8:$B$20,MATCH(G23,Parámetros!$A$8:$A$20,0)),""))</f>
        <v/>
      </c>
      <c r="K23" s="16" t="n"/>
      <c r="L23" s="16" t="n"/>
      <c r="M23" s="28">
        <f>IF(A23="","",I23*J23-K23+L23)</f>
        <v/>
      </c>
      <c r="N23" s="27">
        <f>IF(A23="","",IFERROR(I23*INDEX(Parámetros!$C$8:$C$20,MATCH(G23,Parámetros!$A$8:$A$20,0)),0))</f>
        <v/>
      </c>
      <c r="O23" s="27">
        <f>IF(A23="","",IFERROR(I23*INDEX(Parámetros!$D$8:$D$20,MATCH(G23,Parámetros!$A$8:$A$20,0)),0))</f>
        <v/>
      </c>
      <c r="P23" s="28">
        <f>IF(A23="","",M23*Parámetros!$B$3+Parámetros!$B$4)</f>
        <v/>
      </c>
      <c r="Q23" s="16" t="n"/>
      <c r="R23" s="28">
        <f>IF(A23="","",M23/1.21-N23-O23-P23-Q23)</f>
        <v/>
      </c>
      <c r="S23" s="29">
        <f>IF(OR(A23="",M23=0),"",R23/(M23/1.21))</f>
        <v/>
      </c>
      <c r="T23" s="25" t="n"/>
      <c r="U23" s="25" t="n"/>
      <c r="V23" s="25" t="n"/>
      <c r="W23" s="25" t="n"/>
      <c r="X23" s="26" t="n"/>
      <c r="Y23" s="26" t="n"/>
      <c r="Z23" s="25" t="n"/>
    </row>
    <row r="24">
      <c r="A24" s="25" t="n"/>
      <c r="B24" s="26" t="n"/>
      <c r="C24" s="25" t="n"/>
      <c r="D24" s="25" t="n"/>
      <c r="E24" s="25" t="n"/>
      <c r="F24" s="25" t="n"/>
      <c r="G24" s="25" t="n"/>
      <c r="H24" s="25" t="n"/>
      <c r="I24" s="25" t="n"/>
      <c r="J24" s="27">
        <f>IF(G24="","",IFERROR(INDEX(Parámetros!$B$8:$B$20,MATCH(G24,Parámetros!$A$8:$A$20,0)),""))</f>
        <v/>
      </c>
      <c r="K24" s="16" t="n"/>
      <c r="L24" s="16" t="n"/>
      <c r="M24" s="28">
        <f>IF(A24="","",I24*J24-K24+L24)</f>
        <v/>
      </c>
      <c r="N24" s="27">
        <f>IF(A24="","",IFERROR(I24*INDEX(Parámetros!$C$8:$C$20,MATCH(G24,Parámetros!$A$8:$A$20,0)),0))</f>
        <v/>
      </c>
      <c r="O24" s="27">
        <f>IF(A24="","",IFERROR(I24*INDEX(Parámetros!$D$8:$D$20,MATCH(G24,Parámetros!$A$8:$A$20,0)),0))</f>
        <v/>
      </c>
      <c r="P24" s="28">
        <f>IF(A24="","",M24*Parámetros!$B$3+Parámetros!$B$4)</f>
        <v/>
      </c>
      <c r="Q24" s="16" t="n"/>
      <c r="R24" s="28">
        <f>IF(A24="","",M24/1.21-N24-O24-P24-Q24)</f>
        <v/>
      </c>
      <c r="S24" s="29">
        <f>IF(OR(A24="",M24=0),"",R24/(M24/1.21))</f>
        <v/>
      </c>
      <c r="T24" s="25" t="n"/>
      <c r="U24" s="25" t="n"/>
      <c r="V24" s="25" t="n"/>
      <c r="W24" s="25" t="n"/>
      <c r="X24" s="26" t="n"/>
      <c r="Y24" s="26" t="n"/>
      <c r="Z24" s="25" t="n"/>
    </row>
    <row r="25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7">
        <f>IF(G25="","",IFERROR(INDEX(Parámetros!$B$8:$B$20,MATCH(G25,Parámetros!$A$8:$A$20,0)),""))</f>
        <v/>
      </c>
      <c r="K25" s="16" t="n"/>
      <c r="L25" s="16" t="n"/>
      <c r="M25" s="28">
        <f>IF(A25="","",I25*J25-K25+L25)</f>
        <v/>
      </c>
      <c r="N25" s="27">
        <f>IF(A25="","",IFERROR(I25*INDEX(Parámetros!$C$8:$C$20,MATCH(G25,Parámetros!$A$8:$A$20,0)),0))</f>
        <v/>
      </c>
      <c r="O25" s="27">
        <f>IF(A25="","",IFERROR(I25*INDEX(Parámetros!$D$8:$D$20,MATCH(G25,Parámetros!$A$8:$A$20,0)),0))</f>
        <v/>
      </c>
      <c r="P25" s="28">
        <f>IF(A25="","",M25*Parámetros!$B$3+Parámetros!$B$4)</f>
        <v/>
      </c>
      <c r="Q25" s="16" t="n"/>
      <c r="R25" s="28">
        <f>IF(A25="","",M25/1.21-N25-O25-P25-Q25)</f>
        <v/>
      </c>
      <c r="S25" s="29">
        <f>IF(OR(A25="",M25=0),"",R25/(M25/1.21))</f>
        <v/>
      </c>
      <c r="T25" s="25" t="n"/>
      <c r="U25" s="25" t="n"/>
      <c r="V25" s="25" t="n"/>
      <c r="W25" s="25" t="n"/>
      <c r="X25" s="26" t="n"/>
      <c r="Y25" s="26" t="n"/>
      <c r="Z25" s="25" t="n"/>
    </row>
    <row r="26">
      <c r="A26" s="25" t="n"/>
      <c r="B26" s="26" t="n"/>
      <c r="C26" s="25" t="n"/>
      <c r="D26" s="25" t="n"/>
      <c r="E26" s="25" t="n"/>
      <c r="F26" s="25" t="n"/>
      <c r="G26" s="25" t="n"/>
      <c r="H26" s="25" t="n"/>
      <c r="I26" s="25" t="n"/>
      <c r="J26" s="27">
        <f>IF(G26="","",IFERROR(INDEX(Parámetros!$B$8:$B$20,MATCH(G26,Parámetros!$A$8:$A$20,0)),""))</f>
        <v/>
      </c>
      <c r="K26" s="16" t="n"/>
      <c r="L26" s="16" t="n"/>
      <c r="M26" s="28">
        <f>IF(A26="","",I26*J26-K26+L26)</f>
        <v/>
      </c>
      <c r="N26" s="27">
        <f>IF(A26="","",IFERROR(I26*INDEX(Parámetros!$C$8:$C$20,MATCH(G26,Parámetros!$A$8:$A$20,0)),0))</f>
        <v/>
      </c>
      <c r="O26" s="27">
        <f>IF(A26="","",IFERROR(I26*INDEX(Parámetros!$D$8:$D$20,MATCH(G26,Parámetros!$A$8:$A$20,0)),0))</f>
        <v/>
      </c>
      <c r="P26" s="28">
        <f>IF(A26="","",M26*Parámetros!$B$3+Parámetros!$B$4)</f>
        <v/>
      </c>
      <c r="Q26" s="16" t="n"/>
      <c r="R26" s="28">
        <f>IF(A26="","",M26/1.21-N26-O26-P26-Q26)</f>
        <v/>
      </c>
      <c r="S26" s="29">
        <f>IF(OR(A26="",M26=0),"",R26/(M26/1.21))</f>
        <v/>
      </c>
      <c r="T26" s="25" t="n"/>
      <c r="U26" s="25" t="n"/>
      <c r="V26" s="25" t="n"/>
      <c r="W26" s="25" t="n"/>
      <c r="X26" s="26" t="n"/>
      <c r="Y26" s="26" t="n"/>
      <c r="Z26" s="25" t="n"/>
    </row>
    <row r="27">
      <c r="A27" s="25" t="n"/>
      <c r="B27" s="26" t="n"/>
      <c r="C27" s="25" t="n"/>
      <c r="D27" s="25" t="n"/>
      <c r="E27" s="25" t="n"/>
      <c r="F27" s="25" t="n"/>
      <c r="G27" s="25" t="n"/>
      <c r="H27" s="25" t="n"/>
      <c r="I27" s="25" t="n"/>
      <c r="J27" s="27">
        <f>IF(G27="","",IFERROR(INDEX(Parámetros!$B$8:$B$20,MATCH(G27,Parámetros!$A$8:$A$20,0)),""))</f>
        <v/>
      </c>
      <c r="K27" s="16" t="n"/>
      <c r="L27" s="16" t="n"/>
      <c r="M27" s="28">
        <f>IF(A27="","",I27*J27-K27+L27)</f>
        <v/>
      </c>
      <c r="N27" s="27">
        <f>IF(A27="","",IFERROR(I27*INDEX(Parámetros!$C$8:$C$20,MATCH(G27,Parámetros!$A$8:$A$20,0)),0))</f>
        <v/>
      </c>
      <c r="O27" s="27">
        <f>IF(A27="","",IFERROR(I27*INDEX(Parámetros!$D$8:$D$20,MATCH(G27,Parámetros!$A$8:$A$20,0)),0))</f>
        <v/>
      </c>
      <c r="P27" s="28">
        <f>IF(A27="","",M27*Parámetros!$B$3+Parámetros!$B$4)</f>
        <v/>
      </c>
      <c r="Q27" s="16" t="n"/>
      <c r="R27" s="28">
        <f>IF(A27="","",M27/1.21-N27-O27-P27-Q27)</f>
        <v/>
      </c>
      <c r="S27" s="29">
        <f>IF(OR(A27="",M27=0),"",R27/(M27/1.21))</f>
        <v/>
      </c>
      <c r="T27" s="25" t="n"/>
      <c r="U27" s="25" t="n"/>
      <c r="V27" s="25" t="n"/>
      <c r="W27" s="25" t="n"/>
      <c r="X27" s="26" t="n"/>
      <c r="Y27" s="26" t="n"/>
      <c r="Z27" s="25" t="n"/>
    </row>
    <row r="28">
      <c r="A28" s="25" t="n"/>
      <c r="B28" s="26" t="n"/>
      <c r="C28" s="25" t="n"/>
      <c r="D28" s="25" t="n"/>
      <c r="E28" s="25" t="n"/>
      <c r="F28" s="25" t="n"/>
      <c r="G28" s="25" t="n"/>
      <c r="H28" s="25" t="n"/>
      <c r="I28" s="25" t="n"/>
      <c r="J28" s="27">
        <f>IF(G28="","",IFERROR(INDEX(Parámetros!$B$8:$B$20,MATCH(G28,Parámetros!$A$8:$A$20,0)),""))</f>
        <v/>
      </c>
      <c r="K28" s="16" t="n"/>
      <c r="L28" s="16" t="n"/>
      <c r="M28" s="28">
        <f>IF(A28="","",I28*J28-K28+L28)</f>
        <v/>
      </c>
      <c r="N28" s="27">
        <f>IF(A28="","",IFERROR(I28*INDEX(Parámetros!$C$8:$C$20,MATCH(G28,Parámetros!$A$8:$A$20,0)),0))</f>
        <v/>
      </c>
      <c r="O28" s="27">
        <f>IF(A28="","",IFERROR(I28*INDEX(Parámetros!$D$8:$D$20,MATCH(G28,Parámetros!$A$8:$A$20,0)),0))</f>
        <v/>
      </c>
      <c r="P28" s="28">
        <f>IF(A28="","",M28*Parámetros!$B$3+Parámetros!$B$4)</f>
        <v/>
      </c>
      <c r="Q28" s="16" t="n"/>
      <c r="R28" s="28">
        <f>IF(A28="","",M28/1.21-N28-O28-P28-Q28)</f>
        <v/>
      </c>
      <c r="S28" s="29">
        <f>IF(OR(A28="",M28=0),"",R28/(M28/1.21))</f>
        <v/>
      </c>
      <c r="T28" s="25" t="n"/>
      <c r="U28" s="25" t="n"/>
      <c r="V28" s="25" t="n"/>
      <c r="W28" s="25" t="n"/>
      <c r="X28" s="26" t="n"/>
      <c r="Y28" s="26" t="n"/>
      <c r="Z28" s="25" t="n"/>
    </row>
    <row r="29">
      <c r="A29" s="25" t="n"/>
      <c r="B29" s="26" t="n"/>
      <c r="C29" s="25" t="n"/>
      <c r="D29" s="25" t="n"/>
      <c r="E29" s="25" t="n"/>
      <c r="F29" s="25" t="n"/>
      <c r="G29" s="25" t="n"/>
      <c r="H29" s="25" t="n"/>
      <c r="I29" s="25" t="n"/>
      <c r="J29" s="27">
        <f>IF(G29="","",IFERROR(INDEX(Parámetros!$B$8:$B$20,MATCH(G29,Parámetros!$A$8:$A$20,0)),""))</f>
        <v/>
      </c>
      <c r="K29" s="16" t="n"/>
      <c r="L29" s="16" t="n"/>
      <c r="M29" s="28">
        <f>IF(A29="","",I29*J29-K29+L29)</f>
        <v/>
      </c>
      <c r="N29" s="27">
        <f>IF(A29="","",IFERROR(I29*INDEX(Parámetros!$C$8:$C$20,MATCH(G29,Parámetros!$A$8:$A$20,0)),0))</f>
        <v/>
      </c>
      <c r="O29" s="27">
        <f>IF(A29="","",IFERROR(I29*INDEX(Parámetros!$D$8:$D$20,MATCH(G29,Parámetros!$A$8:$A$20,0)),0))</f>
        <v/>
      </c>
      <c r="P29" s="28">
        <f>IF(A29="","",M29*Parámetros!$B$3+Parámetros!$B$4)</f>
        <v/>
      </c>
      <c r="Q29" s="16" t="n"/>
      <c r="R29" s="28">
        <f>IF(A29="","",M29/1.21-N29-O29-P29-Q29)</f>
        <v/>
      </c>
      <c r="S29" s="29">
        <f>IF(OR(A29="",M29=0),"",R29/(M29/1.21))</f>
        <v/>
      </c>
      <c r="T29" s="25" t="n"/>
      <c r="U29" s="25" t="n"/>
      <c r="V29" s="25" t="n"/>
      <c r="W29" s="25" t="n"/>
      <c r="X29" s="26" t="n"/>
      <c r="Y29" s="26" t="n"/>
      <c r="Z29" s="25" t="n"/>
    </row>
    <row r="30">
      <c r="A30" s="25" t="n"/>
      <c r="B30" s="26" t="n"/>
      <c r="C30" s="25" t="n"/>
      <c r="D30" s="25" t="n"/>
      <c r="E30" s="25" t="n"/>
      <c r="F30" s="25" t="n"/>
      <c r="G30" s="25" t="n"/>
      <c r="H30" s="25" t="n"/>
      <c r="I30" s="25" t="n"/>
      <c r="J30" s="27">
        <f>IF(G30="","",IFERROR(INDEX(Parámetros!$B$8:$B$20,MATCH(G30,Parámetros!$A$8:$A$20,0)),""))</f>
        <v/>
      </c>
      <c r="K30" s="16" t="n"/>
      <c r="L30" s="16" t="n"/>
      <c r="M30" s="28">
        <f>IF(A30="","",I30*J30-K30+L30)</f>
        <v/>
      </c>
      <c r="N30" s="27">
        <f>IF(A30="","",IFERROR(I30*INDEX(Parámetros!$C$8:$C$20,MATCH(G30,Parámetros!$A$8:$A$20,0)),0))</f>
        <v/>
      </c>
      <c r="O30" s="27">
        <f>IF(A30="","",IFERROR(I30*INDEX(Parámetros!$D$8:$D$20,MATCH(G30,Parámetros!$A$8:$A$20,0)),0))</f>
        <v/>
      </c>
      <c r="P30" s="28">
        <f>IF(A30="","",M30*Parámetros!$B$3+Parámetros!$B$4)</f>
        <v/>
      </c>
      <c r="Q30" s="16" t="n"/>
      <c r="R30" s="28">
        <f>IF(A30="","",M30/1.21-N30-O30-P30-Q30)</f>
        <v/>
      </c>
      <c r="S30" s="29">
        <f>IF(OR(A30="",M30=0),"",R30/(M30/1.21))</f>
        <v/>
      </c>
      <c r="T30" s="25" t="n"/>
      <c r="U30" s="25" t="n"/>
      <c r="V30" s="25" t="n"/>
      <c r="W30" s="25" t="n"/>
      <c r="X30" s="26" t="n"/>
      <c r="Y30" s="26" t="n"/>
      <c r="Z30" s="25" t="n"/>
    </row>
    <row r="31">
      <c r="A31" s="25" t="n"/>
      <c r="B31" s="26" t="n"/>
      <c r="C31" s="25" t="n"/>
      <c r="D31" s="25" t="n"/>
      <c r="E31" s="25" t="n"/>
      <c r="F31" s="25" t="n"/>
      <c r="G31" s="25" t="n"/>
      <c r="H31" s="25" t="n"/>
      <c r="I31" s="25" t="n"/>
      <c r="J31" s="27">
        <f>IF(G31="","",IFERROR(INDEX(Parámetros!$B$8:$B$20,MATCH(G31,Parámetros!$A$8:$A$20,0)),""))</f>
        <v/>
      </c>
      <c r="K31" s="16" t="n"/>
      <c r="L31" s="16" t="n"/>
      <c r="M31" s="28">
        <f>IF(A31="","",I31*J31-K31+L31)</f>
        <v/>
      </c>
      <c r="N31" s="27">
        <f>IF(A31="","",IFERROR(I31*INDEX(Parámetros!$C$8:$C$20,MATCH(G31,Parámetros!$A$8:$A$20,0)),0))</f>
        <v/>
      </c>
      <c r="O31" s="27">
        <f>IF(A31="","",IFERROR(I31*INDEX(Parámetros!$D$8:$D$20,MATCH(G31,Parámetros!$A$8:$A$20,0)),0))</f>
        <v/>
      </c>
      <c r="P31" s="28">
        <f>IF(A31="","",M31*Parámetros!$B$3+Parámetros!$B$4)</f>
        <v/>
      </c>
      <c r="Q31" s="16" t="n"/>
      <c r="R31" s="28">
        <f>IF(A31="","",M31/1.21-N31-O31-P31-Q31)</f>
        <v/>
      </c>
      <c r="S31" s="29">
        <f>IF(OR(A31="",M31=0),"",R31/(M31/1.21))</f>
        <v/>
      </c>
      <c r="T31" s="25" t="n"/>
      <c r="U31" s="25" t="n"/>
      <c r="V31" s="25" t="n"/>
      <c r="W31" s="25" t="n"/>
      <c r="X31" s="26" t="n"/>
      <c r="Y31" s="26" t="n"/>
      <c r="Z31" s="25" t="n"/>
    </row>
    <row r="32">
      <c r="A32" s="25" t="n"/>
      <c r="B32" s="26" t="n"/>
      <c r="C32" s="25" t="n"/>
      <c r="D32" s="25" t="n"/>
      <c r="E32" s="25" t="n"/>
      <c r="F32" s="25" t="n"/>
      <c r="G32" s="25" t="n"/>
      <c r="H32" s="25" t="n"/>
      <c r="I32" s="25" t="n"/>
      <c r="J32" s="27">
        <f>IF(G32="","",IFERROR(INDEX(Parámetros!$B$8:$B$20,MATCH(G32,Parámetros!$A$8:$A$20,0)),""))</f>
        <v/>
      </c>
      <c r="K32" s="16" t="n"/>
      <c r="L32" s="16" t="n"/>
      <c r="M32" s="28">
        <f>IF(A32="","",I32*J32-K32+L32)</f>
        <v/>
      </c>
      <c r="N32" s="27">
        <f>IF(A32="","",IFERROR(I32*INDEX(Parámetros!$C$8:$C$20,MATCH(G32,Parámetros!$A$8:$A$20,0)),0))</f>
        <v/>
      </c>
      <c r="O32" s="27">
        <f>IF(A32="","",IFERROR(I32*INDEX(Parámetros!$D$8:$D$20,MATCH(G32,Parámetros!$A$8:$A$20,0)),0))</f>
        <v/>
      </c>
      <c r="P32" s="28">
        <f>IF(A32="","",M32*Parámetros!$B$3+Parámetros!$B$4)</f>
        <v/>
      </c>
      <c r="Q32" s="16" t="n"/>
      <c r="R32" s="28">
        <f>IF(A32="","",M32/1.21-N32-O32-P32-Q32)</f>
        <v/>
      </c>
      <c r="S32" s="29">
        <f>IF(OR(A32="",M32=0),"",R32/(M32/1.21))</f>
        <v/>
      </c>
      <c r="T32" s="25" t="n"/>
      <c r="U32" s="25" t="n"/>
      <c r="V32" s="25" t="n"/>
      <c r="W32" s="25" t="n"/>
      <c r="X32" s="26" t="n"/>
      <c r="Y32" s="26" t="n"/>
      <c r="Z32" s="25" t="n"/>
    </row>
    <row r="33">
      <c r="A33" s="25" t="n"/>
      <c r="B33" s="26" t="n"/>
      <c r="C33" s="25" t="n"/>
      <c r="D33" s="25" t="n"/>
      <c r="E33" s="25" t="n"/>
      <c r="F33" s="25" t="n"/>
      <c r="G33" s="25" t="n"/>
      <c r="H33" s="25" t="n"/>
      <c r="I33" s="25" t="n"/>
      <c r="J33" s="27">
        <f>IF(G33="","",IFERROR(INDEX(Parámetros!$B$8:$B$20,MATCH(G33,Parámetros!$A$8:$A$20,0)),""))</f>
        <v/>
      </c>
      <c r="K33" s="16" t="n"/>
      <c r="L33" s="16" t="n"/>
      <c r="M33" s="28">
        <f>IF(A33="","",I33*J33-K33+L33)</f>
        <v/>
      </c>
      <c r="N33" s="27">
        <f>IF(A33="","",IFERROR(I33*INDEX(Parámetros!$C$8:$C$20,MATCH(G33,Parámetros!$A$8:$A$20,0)),0))</f>
        <v/>
      </c>
      <c r="O33" s="27">
        <f>IF(A33="","",IFERROR(I33*INDEX(Parámetros!$D$8:$D$20,MATCH(G33,Parámetros!$A$8:$A$20,0)),0))</f>
        <v/>
      </c>
      <c r="P33" s="28">
        <f>IF(A33="","",M33*Parámetros!$B$3+Parámetros!$B$4)</f>
        <v/>
      </c>
      <c r="Q33" s="16" t="n"/>
      <c r="R33" s="28">
        <f>IF(A33="","",M33/1.21-N33-O33-P33-Q33)</f>
        <v/>
      </c>
      <c r="S33" s="29">
        <f>IF(OR(A33="",M33=0),"",R33/(M33/1.21))</f>
        <v/>
      </c>
      <c r="T33" s="25" t="n"/>
      <c r="U33" s="25" t="n"/>
      <c r="V33" s="25" t="n"/>
      <c r="W33" s="25" t="n"/>
      <c r="X33" s="26" t="n"/>
      <c r="Y33" s="26" t="n"/>
      <c r="Z33" s="25" t="n"/>
    </row>
    <row r="34">
      <c r="A34" s="25" t="n"/>
      <c r="B34" s="26" t="n"/>
      <c r="C34" s="25" t="n"/>
      <c r="D34" s="25" t="n"/>
      <c r="E34" s="25" t="n"/>
      <c r="F34" s="25" t="n"/>
      <c r="G34" s="25" t="n"/>
      <c r="H34" s="25" t="n"/>
      <c r="I34" s="25" t="n"/>
      <c r="J34" s="27">
        <f>IF(G34="","",IFERROR(INDEX(Parámetros!$B$8:$B$20,MATCH(G34,Parámetros!$A$8:$A$20,0)),""))</f>
        <v/>
      </c>
      <c r="K34" s="16" t="n"/>
      <c r="L34" s="16" t="n"/>
      <c r="M34" s="28">
        <f>IF(A34="","",I34*J34-K34+L34)</f>
        <v/>
      </c>
      <c r="N34" s="27">
        <f>IF(A34="","",IFERROR(I34*INDEX(Parámetros!$C$8:$C$20,MATCH(G34,Parámetros!$A$8:$A$20,0)),0))</f>
        <v/>
      </c>
      <c r="O34" s="27">
        <f>IF(A34="","",IFERROR(I34*INDEX(Parámetros!$D$8:$D$20,MATCH(G34,Parámetros!$A$8:$A$20,0)),0))</f>
        <v/>
      </c>
      <c r="P34" s="28">
        <f>IF(A34="","",M34*Parámetros!$B$3+Parámetros!$B$4)</f>
        <v/>
      </c>
      <c r="Q34" s="16" t="n"/>
      <c r="R34" s="28">
        <f>IF(A34="","",M34/1.21-N34-O34-P34-Q34)</f>
        <v/>
      </c>
      <c r="S34" s="29">
        <f>IF(OR(A34="",M34=0),"",R34/(M34/1.21))</f>
        <v/>
      </c>
      <c r="T34" s="25" t="n"/>
      <c r="U34" s="25" t="n"/>
      <c r="V34" s="25" t="n"/>
      <c r="W34" s="25" t="n"/>
      <c r="X34" s="26" t="n"/>
      <c r="Y34" s="26" t="n"/>
      <c r="Z34" s="25" t="n"/>
    </row>
    <row r="35">
      <c r="A35" s="25" t="n"/>
      <c r="B35" s="26" t="n"/>
      <c r="C35" s="25" t="n"/>
      <c r="D35" s="25" t="n"/>
      <c r="E35" s="25" t="n"/>
      <c r="F35" s="25" t="n"/>
      <c r="G35" s="25" t="n"/>
      <c r="H35" s="25" t="n"/>
      <c r="I35" s="25" t="n"/>
      <c r="J35" s="27">
        <f>IF(G35="","",IFERROR(INDEX(Parámetros!$B$8:$B$20,MATCH(G35,Parámetros!$A$8:$A$20,0)),""))</f>
        <v/>
      </c>
      <c r="K35" s="16" t="n"/>
      <c r="L35" s="16" t="n"/>
      <c r="M35" s="28">
        <f>IF(A35="","",I35*J35-K35+L35)</f>
        <v/>
      </c>
      <c r="N35" s="27">
        <f>IF(A35="","",IFERROR(I35*INDEX(Parámetros!$C$8:$C$20,MATCH(G35,Parámetros!$A$8:$A$20,0)),0))</f>
        <v/>
      </c>
      <c r="O35" s="27">
        <f>IF(A35="","",IFERROR(I35*INDEX(Parámetros!$D$8:$D$20,MATCH(G35,Parámetros!$A$8:$A$20,0)),0))</f>
        <v/>
      </c>
      <c r="P35" s="28">
        <f>IF(A35="","",M35*Parámetros!$B$3+Parámetros!$B$4)</f>
        <v/>
      </c>
      <c r="Q35" s="16" t="n"/>
      <c r="R35" s="28">
        <f>IF(A35="","",M35/1.21-N35-O35-P35-Q35)</f>
        <v/>
      </c>
      <c r="S35" s="29">
        <f>IF(OR(A35="",M35=0),"",R35/(M35/1.21))</f>
        <v/>
      </c>
      <c r="T35" s="25" t="n"/>
      <c r="U35" s="25" t="n"/>
      <c r="V35" s="25" t="n"/>
      <c r="W35" s="25" t="n"/>
      <c r="X35" s="26" t="n"/>
      <c r="Y35" s="26" t="n"/>
      <c r="Z35" s="25" t="n"/>
    </row>
    <row r="36">
      <c r="A36" s="25" t="n"/>
      <c r="B36" s="26" t="n"/>
      <c r="C36" s="25" t="n"/>
      <c r="D36" s="25" t="n"/>
      <c r="E36" s="25" t="n"/>
      <c r="F36" s="25" t="n"/>
      <c r="G36" s="25" t="n"/>
      <c r="H36" s="25" t="n"/>
      <c r="I36" s="25" t="n"/>
      <c r="J36" s="27">
        <f>IF(G36="","",IFERROR(INDEX(Parámetros!$B$8:$B$20,MATCH(G36,Parámetros!$A$8:$A$20,0)),""))</f>
        <v/>
      </c>
      <c r="K36" s="16" t="n"/>
      <c r="L36" s="16" t="n"/>
      <c r="M36" s="28">
        <f>IF(A36="","",I36*J36-K36+L36)</f>
        <v/>
      </c>
      <c r="N36" s="27">
        <f>IF(A36="","",IFERROR(I36*INDEX(Parámetros!$C$8:$C$20,MATCH(G36,Parámetros!$A$8:$A$20,0)),0))</f>
        <v/>
      </c>
      <c r="O36" s="27">
        <f>IF(A36="","",IFERROR(I36*INDEX(Parámetros!$D$8:$D$20,MATCH(G36,Parámetros!$A$8:$A$20,0)),0))</f>
        <v/>
      </c>
      <c r="P36" s="28">
        <f>IF(A36="","",M36*Parámetros!$B$3+Parámetros!$B$4)</f>
        <v/>
      </c>
      <c r="Q36" s="16" t="n"/>
      <c r="R36" s="28">
        <f>IF(A36="","",M36/1.21-N36-O36-P36-Q36)</f>
        <v/>
      </c>
      <c r="S36" s="29">
        <f>IF(OR(A36="",M36=0),"",R36/(M36/1.21))</f>
        <v/>
      </c>
      <c r="T36" s="25" t="n"/>
      <c r="U36" s="25" t="n"/>
      <c r="V36" s="25" t="n"/>
      <c r="W36" s="25" t="n"/>
      <c r="X36" s="26" t="n"/>
      <c r="Y36" s="26" t="n"/>
      <c r="Z36" s="25" t="n"/>
    </row>
    <row r="37">
      <c r="A37" s="25" t="n"/>
      <c r="B37" s="26" t="n"/>
      <c r="C37" s="25" t="n"/>
      <c r="D37" s="25" t="n"/>
      <c r="E37" s="25" t="n"/>
      <c r="F37" s="25" t="n"/>
      <c r="G37" s="25" t="n"/>
      <c r="H37" s="25" t="n"/>
      <c r="I37" s="25" t="n"/>
      <c r="J37" s="27">
        <f>IF(G37="","",IFERROR(INDEX(Parámetros!$B$8:$B$20,MATCH(G37,Parámetros!$A$8:$A$20,0)),""))</f>
        <v/>
      </c>
      <c r="K37" s="16" t="n"/>
      <c r="L37" s="16" t="n"/>
      <c r="M37" s="28">
        <f>IF(A37="","",I37*J37-K37+L37)</f>
        <v/>
      </c>
      <c r="N37" s="27">
        <f>IF(A37="","",IFERROR(I37*INDEX(Parámetros!$C$8:$C$20,MATCH(G37,Parámetros!$A$8:$A$20,0)),0))</f>
        <v/>
      </c>
      <c r="O37" s="27">
        <f>IF(A37="","",IFERROR(I37*INDEX(Parámetros!$D$8:$D$20,MATCH(G37,Parámetros!$A$8:$A$20,0)),0))</f>
        <v/>
      </c>
      <c r="P37" s="28">
        <f>IF(A37="","",M37*Parámetros!$B$3+Parámetros!$B$4)</f>
        <v/>
      </c>
      <c r="Q37" s="16" t="n"/>
      <c r="R37" s="28">
        <f>IF(A37="","",M37/1.21-N37-O37-P37-Q37)</f>
        <v/>
      </c>
      <c r="S37" s="29">
        <f>IF(OR(A37="",M37=0),"",R37/(M37/1.21))</f>
        <v/>
      </c>
      <c r="T37" s="25" t="n"/>
      <c r="U37" s="25" t="n"/>
      <c r="V37" s="25" t="n"/>
      <c r="W37" s="25" t="n"/>
      <c r="X37" s="26" t="n"/>
      <c r="Y37" s="26" t="n"/>
      <c r="Z37" s="25" t="n"/>
    </row>
    <row r="38">
      <c r="A38" s="25" t="n"/>
      <c r="B38" s="26" t="n"/>
      <c r="C38" s="25" t="n"/>
      <c r="D38" s="25" t="n"/>
      <c r="E38" s="25" t="n"/>
      <c r="F38" s="25" t="n"/>
      <c r="G38" s="25" t="n"/>
      <c r="H38" s="25" t="n"/>
      <c r="I38" s="25" t="n"/>
      <c r="J38" s="27">
        <f>IF(G38="","",IFERROR(INDEX(Parámetros!$B$8:$B$20,MATCH(G38,Parámetros!$A$8:$A$20,0)),""))</f>
        <v/>
      </c>
      <c r="K38" s="16" t="n"/>
      <c r="L38" s="16" t="n"/>
      <c r="M38" s="28">
        <f>IF(A38="","",I38*J38-K38+L38)</f>
        <v/>
      </c>
      <c r="N38" s="27">
        <f>IF(A38="","",IFERROR(I38*INDEX(Parámetros!$C$8:$C$20,MATCH(G38,Parámetros!$A$8:$A$20,0)),0))</f>
        <v/>
      </c>
      <c r="O38" s="27">
        <f>IF(A38="","",IFERROR(I38*INDEX(Parámetros!$D$8:$D$20,MATCH(G38,Parámetros!$A$8:$A$20,0)),0))</f>
        <v/>
      </c>
      <c r="P38" s="28">
        <f>IF(A38="","",M38*Parámetros!$B$3+Parámetros!$B$4)</f>
        <v/>
      </c>
      <c r="Q38" s="16" t="n"/>
      <c r="R38" s="28">
        <f>IF(A38="","",M38/1.21-N38-O38-P38-Q38)</f>
        <v/>
      </c>
      <c r="S38" s="29">
        <f>IF(OR(A38="",M38=0),"",R38/(M38/1.21))</f>
        <v/>
      </c>
      <c r="T38" s="25" t="n"/>
      <c r="U38" s="25" t="n"/>
      <c r="V38" s="25" t="n"/>
      <c r="W38" s="25" t="n"/>
      <c r="X38" s="26" t="n"/>
      <c r="Y38" s="26" t="n"/>
      <c r="Z38" s="25" t="n"/>
    </row>
    <row r="39">
      <c r="A39" s="25" t="n"/>
      <c r="B39" s="26" t="n"/>
      <c r="C39" s="25" t="n"/>
      <c r="D39" s="25" t="n"/>
      <c r="E39" s="25" t="n"/>
      <c r="F39" s="25" t="n"/>
      <c r="G39" s="25" t="n"/>
      <c r="H39" s="25" t="n"/>
      <c r="I39" s="25" t="n"/>
      <c r="J39" s="27">
        <f>IF(G39="","",IFERROR(INDEX(Parámetros!$B$8:$B$20,MATCH(G39,Parámetros!$A$8:$A$20,0)),""))</f>
        <v/>
      </c>
      <c r="K39" s="16" t="n"/>
      <c r="L39" s="16" t="n"/>
      <c r="M39" s="28">
        <f>IF(A39="","",I39*J39-K39+L39)</f>
        <v/>
      </c>
      <c r="N39" s="27">
        <f>IF(A39="","",IFERROR(I39*INDEX(Parámetros!$C$8:$C$20,MATCH(G39,Parámetros!$A$8:$A$20,0)),0))</f>
        <v/>
      </c>
      <c r="O39" s="27">
        <f>IF(A39="","",IFERROR(I39*INDEX(Parámetros!$D$8:$D$20,MATCH(G39,Parámetros!$A$8:$A$20,0)),0))</f>
        <v/>
      </c>
      <c r="P39" s="28">
        <f>IF(A39="","",M39*Parámetros!$B$3+Parámetros!$B$4)</f>
        <v/>
      </c>
      <c r="Q39" s="16" t="n"/>
      <c r="R39" s="28">
        <f>IF(A39="","",M39/1.21-N39-O39-P39-Q39)</f>
        <v/>
      </c>
      <c r="S39" s="29">
        <f>IF(OR(A39="",M39=0),"",R39/(M39/1.21))</f>
        <v/>
      </c>
      <c r="T39" s="25" t="n"/>
      <c r="U39" s="25" t="n"/>
      <c r="V39" s="25" t="n"/>
      <c r="W39" s="25" t="n"/>
      <c r="X39" s="26" t="n"/>
      <c r="Y39" s="26" t="n"/>
      <c r="Z39" s="25" t="n"/>
    </row>
    <row r="40">
      <c r="A40" s="25" t="n"/>
      <c r="B40" s="26" t="n"/>
      <c r="C40" s="25" t="n"/>
      <c r="D40" s="25" t="n"/>
      <c r="E40" s="25" t="n"/>
      <c r="F40" s="25" t="n"/>
      <c r="G40" s="25" t="n"/>
      <c r="H40" s="25" t="n"/>
      <c r="I40" s="25" t="n"/>
      <c r="J40" s="27">
        <f>IF(G40="","",IFERROR(INDEX(Parámetros!$B$8:$B$20,MATCH(G40,Parámetros!$A$8:$A$20,0)),""))</f>
        <v/>
      </c>
      <c r="K40" s="16" t="n"/>
      <c r="L40" s="16" t="n"/>
      <c r="M40" s="28">
        <f>IF(A40="","",I40*J40-K40+L40)</f>
        <v/>
      </c>
      <c r="N40" s="27">
        <f>IF(A40="","",IFERROR(I40*INDEX(Parámetros!$C$8:$C$20,MATCH(G40,Parámetros!$A$8:$A$20,0)),0))</f>
        <v/>
      </c>
      <c r="O40" s="27">
        <f>IF(A40="","",IFERROR(I40*INDEX(Parámetros!$D$8:$D$20,MATCH(G40,Parámetros!$A$8:$A$20,0)),0))</f>
        <v/>
      </c>
      <c r="P40" s="28">
        <f>IF(A40="","",M40*Parámetros!$B$3+Parámetros!$B$4)</f>
        <v/>
      </c>
      <c r="Q40" s="16" t="n"/>
      <c r="R40" s="28">
        <f>IF(A40="","",M40/1.21-N40-O40-P40-Q40)</f>
        <v/>
      </c>
      <c r="S40" s="29">
        <f>IF(OR(A40="",M40=0),"",R40/(M40/1.21))</f>
        <v/>
      </c>
      <c r="T40" s="25" t="n"/>
      <c r="U40" s="25" t="n"/>
      <c r="V40" s="25" t="n"/>
      <c r="W40" s="25" t="n"/>
      <c r="X40" s="26" t="n"/>
      <c r="Y40" s="26" t="n"/>
      <c r="Z40" s="25" t="n"/>
    </row>
    <row r="41">
      <c r="A41" s="25" t="n"/>
      <c r="B41" s="26" t="n"/>
      <c r="C41" s="25" t="n"/>
      <c r="D41" s="25" t="n"/>
      <c r="E41" s="25" t="n"/>
      <c r="F41" s="25" t="n"/>
      <c r="G41" s="25" t="n"/>
      <c r="H41" s="25" t="n"/>
      <c r="I41" s="25" t="n"/>
      <c r="J41" s="27">
        <f>IF(G41="","",IFERROR(INDEX(Parámetros!$B$8:$B$20,MATCH(G41,Parámetros!$A$8:$A$20,0)),""))</f>
        <v/>
      </c>
      <c r="K41" s="16" t="n"/>
      <c r="L41" s="16" t="n"/>
      <c r="M41" s="28">
        <f>IF(A41="","",I41*J41-K41+L41)</f>
        <v/>
      </c>
      <c r="N41" s="27">
        <f>IF(A41="","",IFERROR(I41*INDEX(Parámetros!$C$8:$C$20,MATCH(G41,Parámetros!$A$8:$A$20,0)),0))</f>
        <v/>
      </c>
      <c r="O41" s="27">
        <f>IF(A41="","",IFERROR(I41*INDEX(Parámetros!$D$8:$D$20,MATCH(G41,Parámetros!$A$8:$A$20,0)),0))</f>
        <v/>
      </c>
      <c r="P41" s="28">
        <f>IF(A41="","",M41*Parámetros!$B$3+Parámetros!$B$4)</f>
        <v/>
      </c>
      <c r="Q41" s="16" t="n"/>
      <c r="R41" s="28">
        <f>IF(A41="","",M41/1.21-N41-O41-P41-Q41)</f>
        <v/>
      </c>
      <c r="S41" s="29">
        <f>IF(OR(A41="",M41=0),"",R41/(M41/1.21))</f>
        <v/>
      </c>
      <c r="T41" s="25" t="n"/>
      <c r="U41" s="25" t="n"/>
      <c r="V41" s="25" t="n"/>
      <c r="W41" s="25" t="n"/>
      <c r="X41" s="26" t="n"/>
      <c r="Y41" s="26" t="n"/>
      <c r="Z41" s="25" t="n"/>
    </row>
    <row r="42">
      <c r="A42" s="25" t="n"/>
      <c r="B42" s="26" t="n"/>
      <c r="C42" s="25" t="n"/>
      <c r="D42" s="25" t="n"/>
      <c r="E42" s="25" t="n"/>
      <c r="F42" s="25" t="n"/>
      <c r="G42" s="25" t="n"/>
      <c r="H42" s="25" t="n"/>
      <c r="I42" s="25" t="n"/>
      <c r="J42" s="27">
        <f>IF(G42="","",IFERROR(INDEX(Parámetros!$B$8:$B$20,MATCH(G42,Parámetros!$A$8:$A$20,0)),""))</f>
        <v/>
      </c>
      <c r="K42" s="16" t="n"/>
      <c r="L42" s="16" t="n"/>
      <c r="M42" s="28">
        <f>IF(A42="","",I42*J42-K42+L42)</f>
        <v/>
      </c>
      <c r="N42" s="27">
        <f>IF(A42="","",IFERROR(I42*INDEX(Parámetros!$C$8:$C$20,MATCH(G42,Parámetros!$A$8:$A$20,0)),0))</f>
        <v/>
      </c>
      <c r="O42" s="27">
        <f>IF(A42="","",IFERROR(I42*INDEX(Parámetros!$D$8:$D$20,MATCH(G42,Parámetros!$A$8:$A$20,0)),0))</f>
        <v/>
      </c>
      <c r="P42" s="28">
        <f>IF(A42="","",M42*Parámetros!$B$3+Parámetros!$B$4)</f>
        <v/>
      </c>
      <c r="Q42" s="16" t="n"/>
      <c r="R42" s="28">
        <f>IF(A42="","",M42/1.21-N42-O42-P42-Q42)</f>
        <v/>
      </c>
      <c r="S42" s="29">
        <f>IF(OR(A42="",M42=0),"",R42/(M42/1.21))</f>
        <v/>
      </c>
      <c r="T42" s="25" t="n"/>
      <c r="U42" s="25" t="n"/>
      <c r="V42" s="25" t="n"/>
      <c r="W42" s="25" t="n"/>
      <c r="X42" s="26" t="n"/>
      <c r="Y42" s="26" t="n"/>
      <c r="Z42" s="25" t="n"/>
    </row>
    <row r="43">
      <c r="A43" s="25" t="n"/>
      <c r="B43" s="26" t="n"/>
      <c r="C43" s="25" t="n"/>
      <c r="D43" s="25" t="n"/>
      <c r="E43" s="25" t="n"/>
      <c r="F43" s="25" t="n"/>
      <c r="G43" s="25" t="n"/>
      <c r="H43" s="25" t="n"/>
      <c r="I43" s="25" t="n"/>
      <c r="J43" s="27">
        <f>IF(G43="","",IFERROR(INDEX(Parámetros!$B$8:$B$20,MATCH(G43,Parámetros!$A$8:$A$20,0)),""))</f>
        <v/>
      </c>
      <c r="K43" s="16" t="n"/>
      <c r="L43" s="16" t="n"/>
      <c r="M43" s="28">
        <f>IF(A43="","",I43*J43-K43+L43)</f>
        <v/>
      </c>
      <c r="N43" s="27">
        <f>IF(A43="","",IFERROR(I43*INDEX(Parámetros!$C$8:$C$20,MATCH(G43,Parámetros!$A$8:$A$20,0)),0))</f>
        <v/>
      </c>
      <c r="O43" s="27">
        <f>IF(A43="","",IFERROR(I43*INDEX(Parámetros!$D$8:$D$20,MATCH(G43,Parámetros!$A$8:$A$20,0)),0))</f>
        <v/>
      </c>
      <c r="P43" s="28">
        <f>IF(A43="","",M43*Parámetros!$B$3+Parámetros!$B$4)</f>
        <v/>
      </c>
      <c r="Q43" s="16" t="n"/>
      <c r="R43" s="28">
        <f>IF(A43="","",M43/1.21-N43-O43-P43-Q43)</f>
        <v/>
      </c>
      <c r="S43" s="29">
        <f>IF(OR(A43="",M43=0),"",R43/(M43/1.21))</f>
        <v/>
      </c>
      <c r="T43" s="25" t="n"/>
      <c r="U43" s="25" t="n"/>
      <c r="V43" s="25" t="n"/>
      <c r="W43" s="25" t="n"/>
      <c r="X43" s="26" t="n"/>
      <c r="Y43" s="26" t="n"/>
      <c r="Z43" s="25" t="n"/>
    </row>
    <row r="44">
      <c r="A44" s="25" t="n"/>
      <c r="B44" s="26" t="n"/>
      <c r="C44" s="25" t="n"/>
      <c r="D44" s="25" t="n"/>
      <c r="E44" s="25" t="n"/>
      <c r="F44" s="25" t="n"/>
      <c r="G44" s="25" t="n"/>
      <c r="H44" s="25" t="n"/>
      <c r="I44" s="25" t="n"/>
      <c r="J44" s="27">
        <f>IF(G44="","",IFERROR(INDEX(Parámetros!$B$8:$B$20,MATCH(G44,Parámetros!$A$8:$A$20,0)),""))</f>
        <v/>
      </c>
      <c r="K44" s="16" t="n"/>
      <c r="L44" s="16" t="n"/>
      <c r="M44" s="28">
        <f>IF(A44="","",I44*J44-K44+L44)</f>
        <v/>
      </c>
      <c r="N44" s="27">
        <f>IF(A44="","",IFERROR(I44*INDEX(Parámetros!$C$8:$C$20,MATCH(G44,Parámetros!$A$8:$A$20,0)),0))</f>
        <v/>
      </c>
      <c r="O44" s="27">
        <f>IF(A44="","",IFERROR(I44*INDEX(Parámetros!$D$8:$D$20,MATCH(G44,Parámetros!$A$8:$A$20,0)),0))</f>
        <v/>
      </c>
      <c r="P44" s="28">
        <f>IF(A44="","",M44*Parámetros!$B$3+Parámetros!$B$4)</f>
        <v/>
      </c>
      <c r="Q44" s="16" t="n"/>
      <c r="R44" s="28">
        <f>IF(A44="","",M44/1.21-N44-O44-P44-Q44)</f>
        <v/>
      </c>
      <c r="S44" s="29">
        <f>IF(OR(A44="",M44=0),"",R44/(M44/1.21))</f>
        <v/>
      </c>
      <c r="T44" s="25" t="n"/>
      <c r="U44" s="25" t="n"/>
      <c r="V44" s="25" t="n"/>
      <c r="W44" s="25" t="n"/>
      <c r="X44" s="26" t="n"/>
      <c r="Y44" s="26" t="n"/>
      <c r="Z44" s="25" t="n"/>
    </row>
    <row r="45">
      <c r="A45" s="25" t="n"/>
      <c r="B45" s="26" t="n"/>
      <c r="C45" s="25" t="n"/>
      <c r="D45" s="25" t="n"/>
      <c r="E45" s="25" t="n"/>
      <c r="F45" s="25" t="n"/>
      <c r="G45" s="25" t="n"/>
      <c r="H45" s="25" t="n"/>
      <c r="I45" s="25" t="n"/>
      <c r="J45" s="27">
        <f>IF(G45="","",IFERROR(INDEX(Parámetros!$B$8:$B$20,MATCH(G45,Parámetros!$A$8:$A$20,0)),""))</f>
        <v/>
      </c>
      <c r="K45" s="16" t="n"/>
      <c r="L45" s="16" t="n"/>
      <c r="M45" s="28">
        <f>IF(A45="","",I45*J45-K45+L45)</f>
        <v/>
      </c>
      <c r="N45" s="27">
        <f>IF(A45="","",IFERROR(I45*INDEX(Parámetros!$C$8:$C$20,MATCH(G45,Parámetros!$A$8:$A$20,0)),0))</f>
        <v/>
      </c>
      <c r="O45" s="27">
        <f>IF(A45="","",IFERROR(I45*INDEX(Parámetros!$D$8:$D$20,MATCH(G45,Parámetros!$A$8:$A$20,0)),0))</f>
        <v/>
      </c>
      <c r="P45" s="28">
        <f>IF(A45="","",M45*Parámetros!$B$3+Parámetros!$B$4)</f>
        <v/>
      </c>
      <c r="Q45" s="16" t="n"/>
      <c r="R45" s="28">
        <f>IF(A45="","",M45/1.21-N45-O45-P45-Q45)</f>
        <v/>
      </c>
      <c r="S45" s="29">
        <f>IF(OR(A45="",M45=0),"",R45/(M45/1.21))</f>
        <v/>
      </c>
      <c r="T45" s="25" t="n"/>
      <c r="U45" s="25" t="n"/>
      <c r="V45" s="25" t="n"/>
      <c r="W45" s="25" t="n"/>
      <c r="X45" s="26" t="n"/>
      <c r="Y45" s="26" t="n"/>
      <c r="Z45" s="25" t="n"/>
    </row>
    <row r="46">
      <c r="A46" s="25" t="n"/>
      <c r="B46" s="26" t="n"/>
      <c r="C46" s="25" t="n"/>
      <c r="D46" s="25" t="n"/>
      <c r="E46" s="25" t="n"/>
      <c r="F46" s="25" t="n"/>
      <c r="G46" s="25" t="n"/>
      <c r="H46" s="25" t="n"/>
      <c r="I46" s="25" t="n"/>
      <c r="J46" s="27">
        <f>IF(G46="","",IFERROR(INDEX(Parámetros!$B$8:$B$20,MATCH(G46,Parámetros!$A$8:$A$20,0)),""))</f>
        <v/>
      </c>
      <c r="K46" s="16" t="n"/>
      <c r="L46" s="16" t="n"/>
      <c r="M46" s="28">
        <f>IF(A46="","",I46*J46-K46+L46)</f>
        <v/>
      </c>
      <c r="N46" s="27">
        <f>IF(A46="","",IFERROR(I46*INDEX(Parámetros!$C$8:$C$20,MATCH(G46,Parámetros!$A$8:$A$20,0)),0))</f>
        <v/>
      </c>
      <c r="O46" s="27">
        <f>IF(A46="","",IFERROR(I46*INDEX(Parámetros!$D$8:$D$20,MATCH(G46,Parámetros!$A$8:$A$20,0)),0))</f>
        <v/>
      </c>
      <c r="P46" s="28">
        <f>IF(A46="","",M46*Parámetros!$B$3+Parámetros!$B$4)</f>
        <v/>
      </c>
      <c r="Q46" s="16" t="n"/>
      <c r="R46" s="28">
        <f>IF(A46="","",M46/1.21-N46-O46-P46-Q46)</f>
        <v/>
      </c>
      <c r="S46" s="29">
        <f>IF(OR(A46="",M46=0),"",R46/(M46/1.21))</f>
        <v/>
      </c>
      <c r="T46" s="25" t="n"/>
      <c r="U46" s="25" t="n"/>
      <c r="V46" s="25" t="n"/>
      <c r="W46" s="25" t="n"/>
      <c r="X46" s="26" t="n"/>
      <c r="Y46" s="26" t="n"/>
      <c r="Z46" s="25" t="n"/>
    </row>
    <row r="47">
      <c r="A47" s="25" t="n"/>
      <c r="B47" s="26" t="n"/>
      <c r="C47" s="25" t="n"/>
      <c r="D47" s="25" t="n"/>
      <c r="E47" s="25" t="n"/>
      <c r="F47" s="25" t="n"/>
      <c r="G47" s="25" t="n"/>
      <c r="H47" s="25" t="n"/>
      <c r="I47" s="25" t="n"/>
      <c r="J47" s="27">
        <f>IF(G47="","",IFERROR(INDEX(Parámetros!$B$8:$B$20,MATCH(G47,Parámetros!$A$8:$A$20,0)),""))</f>
        <v/>
      </c>
      <c r="K47" s="16" t="n"/>
      <c r="L47" s="16" t="n"/>
      <c r="M47" s="28">
        <f>IF(A47="","",I47*J47-K47+L47)</f>
        <v/>
      </c>
      <c r="N47" s="27">
        <f>IF(A47="","",IFERROR(I47*INDEX(Parámetros!$C$8:$C$20,MATCH(G47,Parámetros!$A$8:$A$20,0)),0))</f>
        <v/>
      </c>
      <c r="O47" s="27">
        <f>IF(A47="","",IFERROR(I47*INDEX(Parámetros!$D$8:$D$20,MATCH(G47,Parámetros!$A$8:$A$20,0)),0))</f>
        <v/>
      </c>
      <c r="P47" s="28">
        <f>IF(A47="","",M47*Parámetros!$B$3+Parámetros!$B$4)</f>
        <v/>
      </c>
      <c r="Q47" s="16" t="n"/>
      <c r="R47" s="28">
        <f>IF(A47="","",M47/1.21-N47-O47-P47-Q47)</f>
        <v/>
      </c>
      <c r="S47" s="29">
        <f>IF(OR(A47="",M47=0),"",R47/(M47/1.21))</f>
        <v/>
      </c>
      <c r="T47" s="25" t="n"/>
      <c r="U47" s="25" t="n"/>
      <c r="V47" s="25" t="n"/>
      <c r="W47" s="25" t="n"/>
      <c r="X47" s="26" t="n"/>
      <c r="Y47" s="26" t="n"/>
      <c r="Z47" s="25" t="n"/>
    </row>
    <row r="48">
      <c r="A48" s="25" t="n"/>
      <c r="B48" s="26" t="n"/>
      <c r="C48" s="25" t="n"/>
      <c r="D48" s="25" t="n"/>
      <c r="E48" s="25" t="n"/>
      <c r="F48" s="25" t="n"/>
      <c r="G48" s="25" t="n"/>
      <c r="H48" s="25" t="n"/>
      <c r="I48" s="25" t="n"/>
      <c r="J48" s="27">
        <f>IF(G48="","",IFERROR(INDEX(Parámetros!$B$8:$B$20,MATCH(G48,Parámetros!$A$8:$A$20,0)),""))</f>
        <v/>
      </c>
      <c r="K48" s="16" t="n"/>
      <c r="L48" s="16" t="n"/>
      <c r="M48" s="28">
        <f>IF(A48="","",I48*J48-K48+L48)</f>
        <v/>
      </c>
      <c r="N48" s="27">
        <f>IF(A48="","",IFERROR(I48*INDEX(Parámetros!$C$8:$C$20,MATCH(G48,Parámetros!$A$8:$A$20,0)),0))</f>
        <v/>
      </c>
      <c r="O48" s="27">
        <f>IF(A48="","",IFERROR(I48*INDEX(Parámetros!$D$8:$D$20,MATCH(G48,Parámetros!$A$8:$A$20,0)),0))</f>
        <v/>
      </c>
      <c r="P48" s="28">
        <f>IF(A48="","",M48*Parámetros!$B$3+Parámetros!$B$4)</f>
        <v/>
      </c>
      <c r="Q48" s="16" t="n"/>
      <c r="R48" s="28">
        <f>IF(A48="","",M48/1.21-N48-O48-P48-Q48)</f>
        <v/>
      </c>
      <c r="S48" s="29">
        <f>IF(OR(A48="",M48=0),"",R48/(M48/1.21))</f>
        <v/>
      </c>
      <c r="T48" s="25" t="n"/>
      <c r="U48" s="25" t="n"/>
      <c r="V48" s="25" t="n"/>
      <c r="W48" s="25" t="n"/>
      <c r="X48" s="26" t="n"/>
      <c r="Y48" s="26" t="n"/>
      <c r="Z48" s="25" t="n"/>
    </row>
    <row r="49">
      <c r="A49" s="25" t="n"/>
      <c r="B49" s="26" t="n"/>
      <c r="C49" s="25" t="n"/>
      <c r="D49" s="25" t="n"/>
      <c r="E49" s="25" t="n"/>
      <c r="F49" s="25" t="n"/>
      <c r="G49" s="25" t="n"/>
      <c r="H49" s="25" t="n"/>
      <c r="I49" s="25" t="n"/>
      <c r="J49" s="27">
        <f>IF(G49="","",IFERROR(INDEX(Parámetros!$B$8:$B$20,MATCH(G49,Parámetros!$A$8:$A$20,0)),""))</f>
        <v/>
      </c>
      <c r="K49" s="16" t="n"/>
      <c r="L49" s="16" t="n"/>
      <c r="M49" s="28">
        <f>IF(A49="","",I49*J49-K49+L49)</f>
        <v/>
      </c>
      <c r="N49" s="27">
        <f>IF(A49="","",IFERROR(I49*INDEX(Parámetros!$C$8:$C$20,MATCH(G49,Parámetros!$A$8:$A$20,0)),0))</f>
        <v/>
      </c>
      <c r="O49" s="27">
        <f>IF(A49="","",IFERROR(I49*INDEX(Parámetros!$D$8:$D$20,MATCH(G49,Parámetros!$A$8:$A$20,0)),0))</f>
        <v/>
      </c>
      <c r="P49" s="28">
        <f>IF(A49="","",M49*Parámetros!$B$3+Parámetros!$B$4)</f>
        <v/>
      </c>
      <c r="Q49" s="16" t="n"/>
      <c r="R49" s="28">
        <f>IF(A49="","",M49/1.21-N49-O49-P49-Q49)</f>
        <v/>
      </c>
      <c r="S49" s="29">
        <f>IF(OR(A49="",M49=0),"",R49/(M49/1.21))</f>
        <v/>
      </c>
      <c r="T49" s="25" t="n"/>
      <c r="U49" s="25" t="n"/>
      <c r="V49" s="25" t="n"/>
      <c r="W49" s="25" t="n"/>
      <c r="X49" s="26" t="n"/>
      <c r="Y49" s="26" t="n"/>
      <c r="Z49" s="25" t="n"/>
    </row>
    <row r="50">
      <c r="A50" s="25" t="n"/>
      <c r="B50" s="26" t="n"/>
      <c r="C50" s="25" t="n"/>
      <c r="D50" s="25" t="n"/>
      <c r="E50" s="25" t="n"/>
      <c r="F50" s="25" t="n"/>
      <c r="G50" s="25" t="n"/>
      <c r="H50" s="25" t="n"/>
      <c r="I50" s="25" t="n"/>
      <c r="J50" s="27">
        <f>IF(G50="","",IFERROR(INDEX(Parámetros!$B$8:$B$20,MATCH(G50,Parámetros!$A$8:$A$20,0)),""))</f>
        <v/>
      </c>
      <c r="K50" s="16" t="n"/>
      <c r="L50" s="16" t="n"/>
      <c r="M50" s="28">
        <f>IF(A50="","",I50*J50-K50+L50)</f>
        <v/>
      </c>
      <c r="N50" s="27">
        <f>IF(A50="","",IFERROR(I50*INDEX(Parámetros!$C$8:$C$20,MATCH(G50,Parámetros!$A$8:$A$20,0)),0))</f>
        <v/>
      </c>
      <c r="O50" s="27">
        <f>IF(A50="","",IFERROR(I50*INDEX(Parámetros!$D$8:$D$20,MATCH(G50,Parámetros!$A$8:$A$20,0)),0))</f>
        <v/>
      </c>
      <c r="P50" s="28">
        <f>IF(A50="","",M50*Parámetros!$B$3+Parámetros!$B$4)</f>
        <v/>
      </c>
      <c r="Q50" s="16" t="n"/>
      <c r="R50" s="28">
        <f>IF(A50="","",M50/1.21-N50-O50-P50-Q50)</f>
        <v/>
      </c>
      <c r="S50" s="29">
        <f>IF(OR(A50="",M50=0),"",R50/(M50/1.21))</f>
        <v/>
      </c>
      <c r="T50" s="25" t="n"/>
      <c r="U50" s="25" t="n"/>
      <c r="V50" s="25" t="n"/>
      <c r="W50" s="25" t="n"/>
      <c r="X50" s="26" t="n"/>
      <c r="Y50" s="26" t="n"/>
      <c r="Z50" s="25" t="n"/>
    </row>
    <row r="51">
      <c r="A51" s="25" t="n"/>
      <c r="B51" s="26" t="n"/>
      <c r="C51" s="25" t="n"/>
      <c r="D51" s="25" t="n"/>
      <c r="E51" s="25" t="n"/>
      <c r="F51" s="25" t="n"/>
      <c r="G51" s="25" t="n"/>
      <c r="H51" s="25" t="n"/>
      <c r="I51" s="25" t="n"/>
      <c r="J51" s="27">
        <f>IF(G51="","",IFERROR(INDEX(Parámetros!$B$8:$B$20,MATCH(G51,Parámetros!$A$8:$A$20,0)),""))</f>
        <v/>
      </c>
      <c r="K51" s="16" t="n"/>
      <c r="L51" s="16" t="n"/>
      <c r="M51" s="28">
        <f>IF(A51="","",I51*J51-K51+L51)</f>
        <v/>
      </c>
      <c r="N51" s="27">
        <f>IF(A51="","",IFERROR(I51*INDEX(Parámetros!$C$8:$C$20,MATCH(G51,Parámetros!$A$8:$A$20,0)),0))</f>
        <v/>
      </c>
      <c r="O51" s="27">
        <f>IF(A51="","",IFERROR(I51*INDEX(Parámetros!$D$8:$D$20,MATCH(G51,Parámetros!$A$8:$A$20,0)),0))</f>
        <v/>
      </c>
      <c r="P51" s="28">
        <f>IF(A51="","",M51*Parámetros!$B$3+Parámetros!$B$4)</f>
        <v/>
      </c>
      <c r="Q51" s="16" t="n"/>
      <c r="R51" s="28">
        <f>IF(A51="","",M51/1.21-N51-O51-P51-Q51)</f>
        <v/>
      </c>
      <c r="S51" s="29">
        <f>IF(OR(A51="",M51=0),"",R51/(M51/1.21))</f>
        <v/>
      </c>
      <c r="T51" s="25" t="n"/>
      <c r="U51" s="25" t="n"/>
      <c r="V51" s="25" t="n"/>
      <c r="W51" s="25" t="n"/>
      <c r="X51" s="26" t="n"/>
      <c r="Y51" s="26" t="n"/>
      <c r="Z51" s="25" t="n"/>
    </row>
    <row r="52">
      <c r="A52" s="25" t="n"/>
      <c r="B52" s="26" t="n"/>
      <c r="C52" s="25" t="n"/>
      <c r="D52" s="25" t="n"/>
      <c r="E52" s="25" t="n"/>
      <c r="F52" s="25" t="n"/>
      <c r="G52" s="25" t="n"/>
      <c r="H52" s="25" t="n"/>
      <c r="I52" s="25" t="n"/>
      <c r="J52" s="27">
        <f>IF(G52="","",IFERROR(INDEX(Parámetros!$B$8:$B$20,MATCH(G52,Parámetros!$A$8:$A$20,0)),""))</f>
        <v/>
      </c>
      <c r="K52" s="16" t="n"/>
      <c r="L52" s="16" t="n"/>
      <c r="M52" s="28">
        <f>IF(A52="","",I52*J52-K52+L52)</f>
        <v/>
      </c>
      <c r="N52" s="27">
        <f>IF(A52="","",IFERROR(I52*INDEX(Parámetros!$C$8:$C$20,MATCH(G52,Parámetros!$A$8:$A$20,0)),0))</f>
        <v/>
      </c>
      <c r="O52" s="27">
        <f>IF(A52="","",IFERROR(I52*INDEX(Parámetros!$D$8:$D$20,MATCH(G52,Parámetros!$A$8:$A$20,0)),0))</f>
        <v/>
      </c>
      <c r="P52" s="28">
        <f>IF(A52="","",M52*Parámetros!$B$3+Parámetros!$B$4)</f>
        <v/>
      </c>
      <c r="Q52" s="16" t="n"/>
      <c r="R52" s="28">
        <f>IF(A52="","",M52/1.21-N52-O52-P52-Q52)</f>
        <v/>
      </c>
      <c r="S52" s="29">
        <f>IF(OR(A52="",M52=0),"",R52/(M52/1.21))</f>
        <v/>
      </c>
      <c r="T52" s="25" t="n"/>
      <c r="U52" s="25" t="n"/>
      <c r="V52" s="25" t="n"/>
      <c r="W52" s="25" t="n"/>
      <c r="X52" s="26" t="n"/>
      <c r="Y52" s="26" t="n"/>
      <c r="Z52" s="25" t="n"/>
    </row>
    <row r="53">
      <c r="A53" s="25" t="n"/>
      <c r="B53" s="26" t="n"/>
      <c r="C53" s="25" t="n"/>
      <c r="D53" s="25" t="n"/>
      <c r="E53" s="25" t="n"/>
      <c r="F53" s="25" t="n"/>
      <c r="G53" s="25" t="n"/>
      <c r="H53" s="25" t="n"/>
      <c r="I53" s="25" t="n"/>
      <c r="J53" s="27">
        <f>IF(G53="","",IFERROR(INDEX(Parámetros!$B$8:$B$20,MATCH(G53,Parámetros!$A$8:$A$20,0)),""))</f>
        <v/>
      </c>
      <c r="K53" s="16" t="n"/>
      <c r="L53" s="16" t="n"/>
      <c r="M53" s="28">
        <f>IF(A53="","",I53*J53-K53+L53)</f>
        <v/>
      </c>
      <c r="N53" s="27">
        <f>IF(A53="","",IFERROR(I53*INDEX(Parámetros!$C$8:$C$20,MATCH(G53,Parámetros!$A$8:$A$20,0)),0))</f>
        <v/>
      </c>
      <c r="O53" s="27">
        <f>IF(A53="","",IFERROR(I53*INDEX(Parámetros!$D$8:$D$20,MATCH(G53,Parámetros!$A$8:$A$20,0)),0))</f>
        <v/>
      </c>
      <c r="P53" s="28">
        <f>IF(A53="","",M53*Parámetros!$B$3+Parámetros!$B$4)</f>
        <v/>
      </c>
      <c r="Q53" s="16" t="n"/>
      <c r="R53" s="28">
        <f>IF(A53="","",M53/1.21-N53-O53-P53-Q53)</f>
        <v/>
      </c>
      <c r="S53" s="29">
        <f>IF(OR(A53="",M53=0),"",R53/(M53/1.21))</f>
        <v/>
      </c>
      <c r="T53" s="25" t="n"/>
      <c r="U53" s="25" t="n"/>
      <c r="V53" s="25" t="n"/>
      <c r="W53" s="25" t="n"/>
      <c r="X53" s="26" t="n"/>
      <c r="Y53" s="26" t="n"/>
      <c r="Z53" s="25" t="n"/>
    </row>
    <row r="54">
      <c r="A54" s="25" t="n"/>
      <c r="B54" s="26" t="n"/>
      <c r="C54" s="25" t="n"/>
      <c r="D54" s="25" t="n"/>
      <c r="E54" s="25" t="n"/>
      <c r="F54" s="25" t="n"/>
      <c r="G54" s="25" t="n"/>
      <c r="H54" s="25" t="n"/>
      <c r="I54" s="25" t="n"/>
      <c r="J54" s="27">
        <f>IF(G54="","",IFERROR(INDEX(Parámetros!$B$8:$B$20,MATCH(G54,Parámetros!$A$8:$A$20,0)),""))</f>
        <v/>
      </c>
      <c r="K54" s="16" t="n"/>
      <c r="L54" s="16" t="n"/>
      <c r="M54" s="28">
        <f>IF(A54="","",I54*J54-K54+L54)</f>
        <v/>
      </c>
      <c r="N54" s="27">
        <f>IF(A54="","",IFERROR(I54*INDEX(Parámetros!$C$8:$C$20,MATCH(G54,Parámetros!$A$8:$A$20,0)),0))</f>
        <v/>
      </c>
      <c r="O54" s="27">
        <f>IF(A54="","",IFERROR(I54*INDEX(Parámetros!$D$8:$D$20,MATCH(G54,Parámetros!$A$8:$A$20,0)),0))</f>
        <v/>
      </c>
      <c r="P54" s="28">
        <f>IF(A54="","",M54*Parámetros!$B$3+Parámetros!$B$4)</f>
        <v/>
      </c>
      <c r="Q54" s="16" t="n"/>
      <c r="R54" s="28">
        <f>IF(A54="","",M54/1.21-N54-O54-P54-Q54)</f>
        <v/>
      </c>
      <c r="S54" s="29">
        <f>IF(OR(A54="",M54=0),"",R54/(M54/1.21))</f>
        <v/>
      </c>
      <c r="T54" s="25" t="n"/>
      <c r="U54" s="25" t="n"/>
      <c r="V54" s="25" t="n"/>
      <c r="W54" s="25" t="n"/>
      <c r="X54" s="26" t="n"/>
      <c r="Y54" s="26" t="n"/>
      <c r="Z54" s="25" t="n"/>
    </row>
    <row r="55">
      <c r="A55" s="25" t="n"/>
      <c r="B55" s="26" t="n"/>
      <c r="C55" s="25" t="n"/>
      <c r="D55" s="25" t="n"/>
      <c r="E55" s="25" t="n"/>
      <c r="F55" s="25" t="n"/>
      <c r="G55" s="25" t="n"/>
      <c r="H55" s="25" t="n"/>
      <c r="I55" s="25" t="n"/>
      <c r="J55" s="27">
        <f>IF(G55="","",IFERROR(INDEX(Parámetros!$B$8:$B$20,MATCH(G55,Parámetros!$A$8:$A$20,0)),""))</f>
        <v/>
      </c>
      <c r="K55" s="16" t="n"/>
      <c r="L55" s="16" t="n"/>
      <c r="M55" s="28">
        <f>IF(A55="","",I55*J55-K55+L55)</f>
        <v/>
      </c>
      <c r="N55" s="27">
        <f>IF(A55="","",IFERROR(I55*INDEX(Parámetros!$C$8:$C$20,MATCH(G55,Parámetros!$A$8:$A$20,0)),0))</f>
        <v/>
      </c>
      <c r="O55" s="27">
        <f>IF(A55="","",IFERROR(I55*INDEX(Parámetros!$D$8:$D$20,MATCH(G55,Parámetros!$A$8:$A$20,0)),0))</f>
        <v/>
      </c>
      <c r="P55" s="28">
        <f>IF(A55="","",M55*Parámetros!$B$3+Parámetros!$B$4)</f>
        <v/>
      </c>
      <c r="Q55" s="16" t="n"/>
      <c r="R55" s="28">
        <f>IF(A55="","",M55/1.21-N55-O55-P55-Q55)</f>
        <v/>
      </c>
      <c r="S55" s="29">
        <f>IF(OR(A55="",M55=0),"",R55/(M55/1.21))</f>
        <v/>
      </c>
      <c r="T55" s="25" t="n"/>
      <c r="U55" s="25" t="n"/>
      <c r="V55" s="25" t="n"/>
      <c r="W55" s="25" t="n"/>
      <c r="X55" s="26" t="n"/>
      <c r="Y55" s="26" t="n"/>
      <c r="Z55" s="25" t="n"/>
    </row>
    <row r="56">
      <c r="A56" s="25" t="n"/>
      <c r="B56" s="26" t="n"/>
      <c r="C56" s="25" t="n"/>
      <c r="D56" s="25" t="n"/>
      <c r="E56" s="25" t="n"/>
      <c r="F56" s="25" t="n"/>
      <c r="G56" s="25" t="n"/>
      <c r="H56" s="25" t="n"/>
      <c r="I56" s="25" t="n"/>
      <c r="J56" s="27">
        <f>IF(G56="","",IFERROR(INDEX(Parámetros!$B$8:$B$20,MATCH(G56,Parámetros!$A$8:$A$20,0)),""))</f>
        <v/>
      </c>
      <c r="K56" s="16" t="n"/>
      <c r="L56" s="16" t="n"/>
      <c r="M56" s="28">
        <f>IF(A56="","",I56*J56-K56+L56)</f>
        <v/>
      </c>
      <c r="N56" s="27">
        <f>IF(A56="","",IFERROR(I56*INDEX(Parámetros!$C$8:$C$20,MATCH(G56,Parámetros!$A$8:$A$20,0)),0))</f>
        <v/>
      </c>
      <c r="O56" s="27">
        <f>IF(A56="","",IFERROR(I56*INDEX(Parámetros!$D$8:$D$20,MATCH(G56,Parámetros!$A$8:$A$20,0)),0))</f>
        <v/>
      </c>
      <c r="P56" s="28">
        <f>IF(A56="","",M56*Parámetros!$B$3+Parámetros!$B$4)</f>
        <v/>
      </c>
      <c r="Q56" s="16" t="n"/>
      <c r="R56" s="28">
        <f>IF(A56="","",M56/1.21-N56-O56-P56-Q56)</f>
        <v/>
      </c>
      <c r="S56" s="29">
        <f>IF(OR(A56="",M56=0),"",R56/(M56/1.21))</f>
        <v/>
      </c>
      <c r="T56" s="25" t="n"/>
      <c r="U56" s="25" t="n"/>
      <c r="V56" s="25" t="n"/>
      <c r="W56" s="25" t="n"/>
      <c r="X56" s="26" t="n"/>
      <c r="Y56" s="26" t="n"/>
      <c r="Z56" s="25" t="n"/>
    </row>
    <row r="57">
      <c r="A57" s="25" t="n"/>
      <c r="B57" s="26" t="n"/>
      <c r="C57" s="25" t="n"/>
      <c r="D57" s="25" t="n"/>
      <c r="E57" s="25" t="n"/>
      <c r="F57" s="25" t="n"/>
      <c r="G57" s="25" t="n"/>
      <c r="H57" s="25" t="n"/>
      <c r="I57" s="25" t="n"/>
      <c r="J57" s="27">
        <f>IF(G57="","",IFERROR(INDEX(Parámetros!$B$8:$B$20,MATCH(G57,Parámetros!$A$8:$A$20,0)),""))</f>
        <v/>
      </c>
      <c r="K57" s="16" t="n"/>
      <c r="L57" s="16" t="n"/>
      <c r="M57" s="28">
        <f>IF(A57="","",I57*J57-K57+L57)</f>
        <v/>
      </c>
      <c r="N57" s="27">
        <f>IF(A57="","",IFERROR(I57*INDEX(Parámetros!$C$8:$C$20,MATCH(G57,Parámetros!$A$8:$A$20,0)),0))</f>
        <v/>
      </c>
      <c r="O57" s="27">
        <f>IF(A57="","",IFERROR(I57*INDEX(Parámetros!$D$8:$D$20,MATCH(G57,Parámetros!$A$8:$A$20,0)),0))</f>
        <v/>
      </c>
      <c r="P57" s="28">
        <f>IF(A57="","",M57*Parámetros!$B$3+Parámetros!$B$4)</f>
        <v/>
      </c>
      <c r="Q57" s="16" t="n"/>
      <c r="R57" s="28">
        <f>IF(A57="","",M57/1.21-N57-O57-P57-Q57)</f>
        <v/>
      </c>
      <c r="S57" s="29">
        <f>IF(OR(A57="",M57=0),"",R57/(M57/1.21))</f>
        <v/>
      </c>
      <c r="T57" s="25" t="n"/>
      <c r="U57" s="25" t="n"/>
      <c r="V57" s="25" t="n"/>
      <c r="W57" s="25" t="n"/>
      <c r="X57" s="26" t="n"/>
      <c r="Y57" s="26" t="n"/>
      <c r="Z57" s="25" t="n"/>
    </row>
    <row r="58">
      <c r="A58" s="25" t="n"/>
      <c r="B58" s="26" t="n"/>
      <c r="C58" s="25" t="n"/>
      <c r="D58" s="25" t="n"/>
      <c r="E58" s="25" t="n"/>
      <c r="F58" s="25" t="n"/>
      <c r="G58" s="25" t="n"/>
      <c r="H58" s="25" t="n"/>
      <c r="I58" s="25" t="n"/>
      <c r="J58" s="27">
        <f>IF(G58="","",IFERROR(INDEX(Parámetros!$B$8:$B$20,MATCH(G58,Parámetros!$A$8:$A$20,0)),""))</f>
        <v/>
      </c>
      <c r="K58" s="16" t="n"/>
      <c r="L58" s="16" t="n"/>
      <c r="M58" s="28">
        <f>IF(A58="","",I58*J58-K58+L58)</f>
        <v/>
      </c>
      <c r="N58" s="27">
        <f>IF(A58="","",IFERROR(I58*INDEX(Parámetros!$C$8:$C$20,MATCH(G58,Parámetros!$A$8:$A$20,0)),0))</f>
        <v/>
      </c>
      <c r="O58" s="27">
        <f>IF(A58="","",IFERROR(I58*INDEX(Parámetros!$D$8:$D$20,MATCH(G58,Parámetros!$A$8:$A$20,0)),0))</f>
        <v/>
      </c>
      <c r="P58" s="28">
        <f>IF(A58="","",M58*Parámetros!$B$3+Parámetros!$B$4)</f>
        <v/>
      </c>
      <c r="Q58" s="16" t="n"/>
      <c r="R58" s="28">
        <f>IF(A58="","",M58/1.21-N58-O58-P58-Q58)</f>
        <v/>
      </c>
      <c r="S58" s="29">
        <f>IF(OR(A58="",M58=0),"",R58/(M58/1.21))</f>
        <v/>
      </c>
      <c r="T58" s="25" t="n"/>
      <c r="U58" s="25" t="n"/>
      <c r="V58" s="25" t="n"/>
      <c r="W58" s="25" t="n"/>
      <c r="X58" s="26" t="n"/>
      <c r="Y58" s="26" t="n"/>
      <c r="Z58" s="25" t="n"/>
    </row>
    <row r="59">
      <c r="A59" s="25" t="n"/>
      <c r="B59" s="26" t="n"/>
      <c r="C59" s="25" t="n"/>
      <c r="D59" s="25" t="n"/>
      <c r="E59" s="25" t="n"/>
      <c r="F59" s="25" t="n"/>
      <c r="G59" s="25" t="n"/>
      <c r="H59" s="25" t="n"/>
      <c r="I59" s="25" t="n"/>
      <c r="J59" s="27">
        <f>IF(G59="","",IFERROR(INDEX(Parámetros!$B$8:$B$20,MATCH(G59,Parámetros!$A$8:$A$20,0)),""))</f>
        <v/>
      </c>
      <c r="K59" s="16" t="n"/>
      <c r="L59" s="16" t="n"/>
      <c r="M59" s="28">
        <f>IF(A59="","",I59*J59-K59+L59)</f>
        <v/>
      </c>
      <c r="N59" s="27">
        <f>IF(A59="","",IFERROR(I59*INDEX(Parámetros!$C$8:$C$20,MATCH(G59,Parámetros!$A$8:$A$20,0)),0))</f>
        <v/>
      </c>
      <c r="O59" s="27">
        <f>IF(A59="","",IFERROR(I59*INDEX(Parámetros!$D$8:$D$20,MATCH(G59,Parámetros!$A$8:$A$20,0)),0))</f>
        <v/>
      </c>
      <c r="P59" s="28">
        <f>IF(A59="","",M59*Parámetros!$B$3+Parámetros!$B$4)</f>
        <v/>
      </c>
      <c r="Q59" s="16" t="n"/>
      <c r="R59" s="28">
        <f>IF(A59="","",M59/1.21-N59-O59-P59-Q59)</f>
        <v/>
      </c>
      <c r="S59" s="29">
        <f>IF(OR(A59="",M59=0),"",R59/(M59/1.21))</f>
        <v/>
      </c>
      <c r="T59" s="25" t="n"/>
      <c r="U59" s="25" t="n"/>
      <c r="V59" s="25" t="n"/>
      <c r="W59" s="25" t="n"/>
      <c r="X59" s="26" t="n"/>
      <c r="Y59" s="26" t="n"/>
      <c r="Z59" s="25" t="n"/>
    </row>
    <row r="60">
      <c r="A60" s="25" t="n"/>
      <c r="B60" s="26" t="n"/>
      <c r="C60" s="25" t="n"/>
      <c r="D60" s="25" t="n"/>
      <c r="E60" s="25" t="n"/>
      <c r="F60" s="25" t="n"/>
      <c r="G60" s="25" t="n"/>
      <c r="H60" s="25" t="n"/>
      <c r="I60" s="25" t="n"/>
      <c r="J60" s="27">
        <f>IF(G60="","",IFERROR(INDEX(Parámetros!$B$8:$B$20,MATCH(G60,Parámetros!$A$8:$A$20,0)),""))</f>
        <v/>
      </c>
      <c r="K60" s="16" t="n"/>
      <c r="L60" s="16" t="n"/>
      <c r="M60" s="28">
        <f>IF(A60="","",I60*J60-K60+L60)</f>
        <v/>
      </c>
      <c r="N60" s="27">
        <f>IF(A60="","",IFERROR(I60*INDEX(Parámetros!$C$8:$C$20,MATCH(G60,Parámetros!$A$8:$A$20,0)),0))</f>
        <v/>
      </c>
      <c r="O60" s="27">
        <f>IF(A60="","",IFERROR(I60*INDEX(Parámetros!$D$8:$D$20,MATCH(G60,Parámetros!$A$8:$A$20,0)),0))</f>
        <v/>
      </c>
      <c r="P60" s="28">
        <f>IF(A60="","",M60*Parámetros!$B$3+Parámetros!$B$4)</f>
        <v/>
      </c>
      <c r="Q60" s="16" t="n"/>
      <c r="R60" s="28">
        <f>IF(A60="","",M60/1.21-N60-O60-P60-Q60)</f>
        <v/>
      </c>
      <c r="S60" s="29">
        <f>IF(OR(A60="",M60=0),"",R60/(M60/1.21))</f>
        <v/>
      </c>
      <c r="T60" s="25" t="n"/>
      <c r="U60" s="25" t="n"/>
      <c r="V60" s="25" t="n"/>
      <c r="W60" s="25" t="n"/>
      <c r="X60" s="26" t="n"/>
      <c r="Y60" s="26" t="n"/>
      <c r="Z60" s="25" t="n"/>
    </row>
    <row r="61">
      <c r="A61" s="25" t="n"/>
      <c r="B61" s="26" t="n"/>
      <c r="C61" s="25" t="n"/>
      <c r="D61" s="25" t="n"/>
      <c r="E61" s="25" t="n"/>
      <c r="F61" s="25" t="n"/>
      <c r="G61" s="25" t="n"/>
      <c r="H61" s="25" t="n"/>
      <c r="I61" s="25" t="n"/>
      <c r="J61" s="27">
        <f>IF(G61="","",IFERROR(INDEX(Parámetros!$B$8:$B$20,MATCH(G61,Parámetros!$A$8:$A$20,0)),""))</f>
        <v/>
      </c>
      <c r="K61" s="16" t="n"/>
      <c r="L61" s="16" t="n"/>
      <c r="M61" s="28">
        <f>IF(A61="","",I61*J61-K61+L61)</f>
        <v/>
      </c>
      <c r="N61" s="27">
        <f>IF(A61="","",IFERROR(I61*INDEX(Parámetros!$C$8:$C$20,MATCH(G61,Parámetros!$A$8:$A$20,0)),0))</f>
        <v/>
      </c>
      <c r="O61" s="27">
        <f>IF(A61="","",IFERROR(I61*INDEX(Parámetros!$D$8:$D$20,MATCH(G61,Parámetros!$A$8:$A$20,0)),0))</f>
        <v/>
      </c>
      <c r="P61" s="28">
        <f>IF(A61="","",M61*Parámetros!$B$3+Parámetros!$B$4)</f>
        <v/>
      </c>
      <c r="Q61" s="16" t="n"/>
      <c r="R61" s="28">
        <f>IF(A61="","",M61/1.21-N61-O61-P61-Q61)</f>
        <v/>
      </c>
      <c r="S61" s="29">
        <f>IF(OR(A61="",M61=0),"",R61/(M61/1.21))</f>
        <v/>
      </c>
      <c r="T61" s="25" t="n"/>
      <c r="U61" s="25" t="n"/>
      <c r="V61" s="25" t="n"/>
      <c r="W61" s="25" t="n"/>
      <c r="X61" s="26" t="n"/>
      <c r="Y61" s="26" t="n"/>
      <c r="Z61" s="25" t="n"/>
    </row>
    <row r="62">
      <c r="A62" s="25" t="n"/>
      <c r="B62" s="26" t="n"/>
      <c r="C62" s="25" t="n"/>
      <c r="D62" s="25" t="n"/>
      <c r="E62" s="25" t="n"/>
      <c r="F62" s="25" t="n"/>
      <c r="G62" s="25" t="n"/>
      <c r="H62" s="25" t="n"/>
      <c r="I62" s="25" t="n"/>
      <c r="J62" s="27">
        <f>IF(G62="","",IFERROR(INDEX(Parámetros!$B$8:$B$20,MATCH(G62,Parámetros!$A$8:$A$20,0)),""))</f>
        <v/>
      </c>
      <c r="K62" s="16" t="n"/>
      <c r="L62" s="16" t="n"/>
      <c r="M62" s="28">
        <f>IF(A62="","",I62*J62-K62+L62)</f>
        <v/>
      </c>
      <c r="N62" s="27">
        <f>IF(A62="","",IFERROR(I62*INDEX(Parámetros!$C$8:$C$20,MATCH(G62,Parámetros!$A$8:$A$20,0)),0))</f>
        <v/>
      </c>
      <c r="O62" s="27">
        <f>IF(A62="","",IFERROR(I62*INDEX(Parámetros!$D$8:$D$20,MATCH(G62,Parámetros!$A$8:$A$20,0)),0))</f>
        <v/>
      </c>
      <c r="P62" s="28">
        <f>IF(A62="","",M62*Parámetros!$B$3+Parámetros!$B$4)</f>
        <v/>
      </c>
      <c r="Q62" s="16" t="n"/>
      <c r="R62" s="28">
        <f>IF(A62="","",M62/1.21-N62-O62-P62-Q62)</f>
        <v/>
      </c>
      <c r="S62" s="29">
        <f>IF(OR(A62="",M62=0),"",R62/(M62/1.21))</f>
        <v/>
      </c>
      <c r="T62" s="25" t="n"/>
      <c r="U62" s="25" t="n"/>
      <c r="V62" s="25" t="n"/>
      <c r="W62" s="25" t="n"/>
      <c r="X62" s="26" t="n"/>
      <c r="Y62" s="26" t="n"/>
      <c r="Z62" s="25" t="n"/>
    </row>
    <row r="63">
      <c r="A63" s="25" t="n"/>
      <c r="B63" s="26" t="n"/>
      <c r="C63" s="25" t="n"/>
      <c r="D63" s="25" t="n"/>
      <c r="E63" s="25" t="n"/>
      <c r="F63" s="25" t="n"/>
      <c r="G63" s="25" t="n"/>
      <c r="H63" s="25" t="n"/>
      <c r="I63" s="25" t="n"/>
      <c r="J63" s="27">
        <f>IF(G63="","",IFERROR(INDEX(Parámetros!$B$8:$B$20,MATCH(G63,Parámetros!$A$8:$A$20,0)),""))</f>
        <v/>
      </c>
      <c r="K63" s="16" t="n"/>
      <c r="L63" s="16" t="n"/>
      <c r="M63" s="28">
        <f>IF(A63="","",I63*J63-K63+L63)</f>
        <v/>
      </c>
      <c r="N63" s="27">
        <f>IF(A63="","",IFERROR(I63*INDEX(Parámetros!$C$8:$C$20,MATCH(G63,Parámetros!$A$8:$A$20,0)),0))</f>
        <v/>
      </c>
      <c r="O63" s="27">
        <f>IF(A63="","",IFERROR(I63*INDEX(Parámetros!$D$8:$D$20,MATCH(G63,Parámetros!$A$8:$A$20,0)),0))</f>
        <v/>
      </c>
      <c r="P63" s="28">
        <f>IF(A63="","",M63*Parámetros!$B$3+Parámetros!$B$4)</f>
        <v/>
      </c>
      <c r="Q63" s="16" t="n"/>
      <c r="R63" s="28">
        <f>IF(A63="","",M63/1.21-N63-O63-P63-Q63)</f>
        <v/>
      </c>
      <c r="S63" s="29">
        <f>IF(OR(A63="",M63=0),"",R63/(M63/1.21))</f>
        <v/>
      </c>
      <c r="T63" s="25" t="n"/>
      <c r="U63" s="25" t="n"/>
      <c r="V63" s="25" t="n"/>
      <c r="W63" s="25" t="n"/>
      <c r="X63" s="26" t="n"/>
      <c r="Y63" s="26" t="n"/>
      <c r="Z63" s="25" t="n"/>
    </row>
    <row r="64">
      <c r="A64" s="25" t="n"/>
      <c r="B64" s="26" t="n"/>
      <c r="C64" s="25" t="n"/>
      <c r="D64" s="25" t="n"/>
      <c r="E64" s="25" t="n"/>
      <c r="F64" s="25" t="n"/>
      <c r="G64" s="25" t="n"/>
      <c r="H64" s="25" t="n"/>
      <c r="I64" s="25" t="n"/>
      <c r="J64" s="27">
        <f>IF(G64="","",IFERROR(INDEX(Parámetros!$B$8:$B$20,MATCH(G64,Parámetros!$A$8:$A$20,0)),""))</f>
        <v/>
      </c>
      <c r="K64" s="16" t="n"/>
      <c r="L64" s="16" t="n"/>
      <c r="M64" s="28">
        <f>IF(A64="","",I64*J64-K64+L64)</f>
        <v/>
      </c>
      <c r="N64" s="27">
        <f>IF(A64="","",IFERROR(I64*INDEX(Parámetros!$C$8:$C$20,MATCH(G64,Parámetros!$A$8:$A$20,0)),0))</f>
        <v/>
      </c>
      <c r="O64" s="27">
        <f>IF(A64="","",IFERROR(I64*INDEX(Parámetros!$D$8:$D$20,MATCH(G64,Parámetros!$A$8:$A$20,0)),0))</f>
        <v/>
      </c>
      <c r="P64" s="28">
        <f>IF(A64="","",M64*Parámetros!$B$3+Parámetros!$B$4)</f>
        <v/>
      </c>
      <c r="Q64" s="16" t="n"/>
      <c r="R64" s="28">
        <f>IF(A64="","",M64/1.21-N64-O64-P64-Q64)</f>
        <v/>
      </c>
      <c r="S64" s="29">
        <f>IF(OR(A64="",M64=0),"",R64/(M64/1.21))</f>
        <v/>
      </c>
      <c r="T64" s="25" t="n"/>
      <c r="U64" s="25" t="n"/>
      <c r="V64" s="25" t="n"/>
      <c r="W64" s="25" t="n"/>
      <c r="X64" s="26" t="n"/>
      <c r="Y64" s="26" t="n"/>
      <c r="Z64" s="25" t="n"/>
    </row>
    <row r="65">
      <c r="A65" s="25" t="n"/>
      <c r="B65" s="26" t="n"/>
      <c r="C65" s="25" t="n"/>
      <c r="D65" s="25" t="n"/>
      <c r="E65" s="25" t="n"/>
      <c r="F65" s="25" t="n"/>
      <c r="G65" s="25" t="n"/>
      <c r="H65" s="25" t="n"/>
      <c r="I65" s="25" t="n"/>
      <c r="J65" s="27">
        <f>IF(G65="","",IFERROR(INDEX(Parámetros!$B$8:$B$20,MATCH(G65,Parámetros!$A$8:$A$20,0)),""))</f>
        <v/>
      </c>
      <c r="K65" s="16" t="n"/>
      <c r="L65" s="16" t="n"/>
      <c r="M65" s="28">
        <f>IF(A65="","",I65*J65-K65+L65)</f>
        <v/>
      </c>
      <c r="N65" s="27">
        <f>IF(A65="","",IFERROR(I65*INDEX(Parámetros!$C$8:$C$20,MATCH(G65,Parámetros!$A$8:$A$20,0)),0))</f>
        <v/>
      </c>
      <c r="O65" s="27">
        <f>IF(A65="","",IFERROR(I65*INDEX(Parámetros!$D$8:$D$20,MATCH(G65,Parámetros!$A$8:$A$20,0)),0))</f>
        <v/>
      </c>
      <c r="P65" s="28">
        <f>IF(A65="","",M65*Parámetros!$B$3+Parámetros!$B$4)</f>
        <v/>
      </c>
      <c r="Q65" s="16" t="n"/>
      <c r="R65" s="28">
        <f>IF(A65="","",M65/1.21-N65-O65-P65-Q65)</f>
        <v/>
      </c>
      <c r="S65" s="29">
        <f>IF(OR(A65="",M65=0),"",R65/(M65/1.21))</f>
        <v/>
      </c>
      <c r="T65" s="25" t="n"/>
      <c r="U65" s="25" t="n"/>
      <c r="V65" s="25" t="n"/>
      <c r="W65" s="25" t="n"/>
      <c r="X65" s="26" t="n"/>
      <c r="Y65" s="26" t="n"/>
      <c r="Z65" s="25" t="n"/>
    </row>
    <row r="66">
      <c r="A66" s="25" t="n"/>
      <c r="B66" s="26" t="n"/>
      <c r="C66" s="25" t="n"/>
      <c r="D66" s="25" t="n"/>
      <c r="E66" s="25" t="n"/>
      <c r="F66" s="25" t="n"/>
      <c r="G66" s="25" t="n"/>
      <c r="H66" s="25" t="n"/>
      <c r="I66" s="25" t="n"/>
      <c r="J66" s="27">
        <f>IF(G66="","",IFERROR(INDEX(Parámetros!$B$8:$B$20,MATCH(G66,Parámetros!$A$8:$A$20,0)),""))</f>
        <v/>
      </c>
      <c r="K66" s="16" t="n"/>
      <c r="L66" s="16" t="n"/>
      <c r="M66" s="28">
        <f>IF(A66="","",I66*J66-K66+L66)</f>
        <v/>
      </c>
      <c r="N66" s="27">
        <f>IF(A66="","",IFERROR(I66*INDEX(Parámetros!$C$8:$C$20,MATCH(G66,Parámetros!$A$8:$A$20,0)),0))</f>
        <v/>
      </c>
      <c r="O66" s="27">
        <f>IF(A66="","",IFERROR(I66*INDEX(Parámetros!$D$8:$D$20,MATCH(G66,Parámetros!$A$8:$A$20,0)),0))</f>
        <v/>
      </c>
      <c r="P66" s="28">
        <f>IF(A66="","",M66*Parámetros!$B$3+Parámetros!$B$4)</f>
        <v/>
      </c>
      <c r="Q66" s="16" t="n"/>
      <c r="R66" s="28">
        <f>IF(A66="","",M66/1.21-N66-O66-P66-Q66)</f>
        <v/>
      </c>
      <c r="S66" s="29">
        <f>IF(OR(A66="",M66=0),"",R66/(M66/1.21))</f>
        <v/>
      </c>
      <c r="T66" s="25" t="n"/>
      <c r="U66" s="25" t="n"/>
      <c r="V66" s="25" t="n"/>
      <c r="W66" s="25" t="n"/>
      <c r="X66" s="26" t="n"/>
      <c r="Y66" s="26" t="n"/>
      <c r="Z66" s="25" t="n"/>
    </row>
    <row r="67">
      <c r="A67" s="25" t="n"/>
      <c r="B67" s="26" t="n"/>
      <c r="C67" s="25" t="n"/>
      <c r="D67" s="25" t="n"/>
      <c r="E67" s="25" t="n"/>
      <c r="F67" s="25" t="n"/>
      <c r="G67" s="25" t="n"/>
      <c r="H67" s="25" t="n"/>
      <c r="I67" s="25" t="n"/>
      <c r="J67" s="27">
        <f>IF(G67="","",IFERROR(INDEX(Parámetros!$B$8:$B$20,MATCH(G67,Parámetros!$A$8:$A$20,0)),""))</f>
        <v/>
      </c>
      <c r="K67" s="16" t="n"/>
      <c r="L67" s="16" t="n"/>
      <c r="M67" s="28">
        <f>IF(A67="","",I67*J67-K67+L67)</f>
        <v/>
      </c>
      <c r="N67" s="27">
        <f>IF(A67="","",IFERROR(I67*INDEX(Parámetros!$C$8:$C$20,MATCH(G67,Parámetros!$A$8:$A$20,0)),0))</f>
        <v/>
      </c>
      <c r="O67" s="27">
        <f>IF(A67="","",IFERROR(I67*INDEX(Parámetros!$D$8:$D$20,MATCH(G67,Parámetros!$A$8:$A$20,0)),0))</f>
        <v/>
      </c>
      <c r="P67" s="28">
        <f>IF(A67="","",M67*Parámetros!$B$3+Parámetros!$B$4)</f>
        <v/>
      </c>
      <c r="Q67" s="16" t="n"/>
      <c r="R67" s="28">
        <f>IF(A67="","",M67/1.21-N67-O67-P67-Q67)</f>
        <v/>
      </c>
      <c r="S67" s="29">
        <f>IF(OR(A67="",M67=0),"",R67/(M67/1.21))</f>
        <v/>
      </c>
      <c r="T67" s="25" t="n"/>
      <c r="U67" s="25" t="n"/>
      <c r="V67" s="25" t="n"/>
      <c r="W67" s="25" t="n"/>
      <c r="X67" s="26" t="n"/>
      <c r="Y67" s="26" t="n"/>
      <c r="Z67" s="25" t="n"/>
    </row>
    <row r="68">
      <c r="A68" s="25" t="n"/>
      <c r="B68" s="26" t="n"/>
      <c r="C68" s="25" t="n"/>
      <c r="D68" s="25" t="n"/>
      <c r="E68" s="25" t="n"/>
      <c r="F68" s="25" t="n"/>
      <c r="G68" s="25" t="n"/>
      <c r="H68" s="25" t="n"/>
      <c r="I68" s="25" t="n"/>
      <c r="J68" s="27">
        <f>IF(G68="","",IFERROR(INDEX(Parámetros!$B$8:$B$20,MATCH(G68,Parámetros!$A$8:$A$20,0)),""))</f>
        <v/>
      </c>
      <c r="K68" s="16" t="n"/>
      <c r="L68" s="16" t="n"/>
      <c r="M68" s="28">
        <f>IF(A68="","",I68*J68-K68+L68)</f>
        <v/>
      </c>
      <c r="N68" s="27">
        <f>IF(A68="","",IFERROR(I68*INDEX(Parámetros!$C$8:$C$20,MATCH(G68,Parámetros!$A$8:$A$20,0)),0))</f>
        <v/>
      </c>
      <c r="O68" s="27">
        <f>IF(A68="","",IFERROR(I68*INDEX(Parámetros!$D$8:$D$20,MATCH(G68,Parámetros!$A$8:$A$20,0)),0))</f>
        <v/>
      </c>
      <c r="P68" s="28">
        <f>IF(A68="","",M68*Parámetros!$B$3+Parámetros!$B$4)</f>
        <v/>
      </c>
      <c r="Q68" s="16" t="n"/>
      <c r="R68" s="28">
        <f>IF(A68="","",M68/1.21-N68-O68-P68-Q68)</f>
        <v/>
      </c>
      <c r="S68" s="29">
        <f>IF(OR(A68="",M68=0),"",R68/(M68/1.21))</f>
        <v/>
      </c>
      <c r="T68" s="25" t="n"/>
      <c r="U68" s="25" t="n"/>
      <c r="V68" s="25" t="n"/>
      <c r="W68" s="25" t="n"/>
      <c r="X68" s="26" t="n"/>
      <c r="Y68" s="26" t="n"/>
      <c r="Z68" s="25" t="n"/>
    </row>
    <row r="69">
      <c r="A69" s="25" t="n"/>
      <c r="B69" s="26" t="n"/>
      <c r="C69" s="25" t="n"/>
      <c r="D69" s="25" t="n"/>
      <c r="E69" s="25" t="n"/>
      <c r="F69" s="25" t="n"/>
      <c r="G69" s="25" t="n"/>
      <c r="H69" s="25" t="n"/>
      <c r="I69" s="25" t="n"/>
      <c r="J69" s="27">
        <f>IF(G69="","",IFERROR(INDEX(Parámetros!$B$8:$B$20,MATCH(G69,Parámetros!$A$8:$A$20,0)),""))</f>
        <v/>
      </c>
      <c r="K69" s="16" t="n"/>
      <c r="L69" s="16" t="n"/>
      <c r="M69" s="28">
        <f>IF(A69="","",I69*J69-K69+L69)</f>
        <v/>
      </c>
      <c r="N69" s="27">
        <f>IF(A69="","",IFERROR(I69*INDEX(Parámetros!$C$8:$C$20,MATCH(G69,Parámetros!$A$8:$A$20,0)),0))</f>
        <v/>
      </c>
      <c r="O69" s="27">
        <f>IF(A69="","",IFERROR(I69*INDEX(Parámetros!$D$8:$D$20,MATCH(G69,Parámetros!$A$8:$A$20,0)),0))</f>
        <v/>
      </c>
      <c r="P69" s="28">
        <f>IF(A69="","",M69*Parámetros!$B$3+Parámetros!$B$4)</f>
        <v/>
      </c>
      <c r="Q69" s="16" t="n"/>
      <c r="R69" s="28">
        <f>IF(A69="","",M69/1.21-N69-O69-P69-Q69)</f>
        <v/>
      </c>
      <c r="S69" s="29">
        <f>IF(OR(A69="",M69=0),"",R69/(M69/1.21))</f>
        <v/>
      </c>
      <c r="T69" s="25" t="n"/>
      <c r="U69" s="25" t="n"/>
      <c r="V69" s="25" t="n"/>
      <c r="W69" s="25" t="n"/>
      <c r="X69" s="26" t="n"/>
      <c r="Y69" s="26" t="n"/>
      <c r="Z69" s="25" t="n"/>
    </row>
    <row r="70">
      <c r="A70" s="25" t="n"/>
      <c r="B70" s="26" t="n"/>
      <c r="C70" s="25" t="n"/>
      <c r="D70" s="25" t="n"/>
      <c r="E70" s="25" t="n"/>
      <c r="F70" s="25" t="n"/>
      <c r="G70" s="25" t="n"/>
      <c r="H70" s="25" t="n"/>
      <c r="I70" s="25" t="n"/>
      <c r="J70" s="27">
        <f>IF(G70="","",IFERROR(INDEX(Parámetros!$B$8:$B$20,MATCH(G70,Parámetros!$A$8:$A$20,0)),""))</f>
        <v/>
      </c>
      <c r="K70" s="16" t="n"/>
      <c r="L70" s="16" t="n"/>
      <c r="M70" s="28">
        <f>IF(A70="","",I70*J70-K70+L70)</f>
        <v/>
      </c>
      <c r="N70" s="27">
        <f>IF(A70="","",IFERROR(I70*INDEX(Parámetros!$C$8:$C$20,MATCH(G70,Parámetros!$A$8:$A$20,0)),0))</f>
        <v/>
      </c>
      <c r="O70" s="27">
        <f>IF(A70="","",IFERROR(I70*INDEX(Parámetros!$D$8:$D$20,MATCH(G70,Parámetros!$A$8:$A$20,0)),0))</f>
        <v/>
      </c>
      <c r="P70" s="28">
        <f>IF(A70="","",M70*Parámetros!$B$3+Parámetros!$B$4)</f>
        <v/>
      </c>
      <c r="Q70" s="16" t="n"/>
      <c r="R70" s="28">
        <f>IF(A70="","",M70/1.21-N70-O70-P70-Q70)</f>
        <v/>
      </c>
      <c r="S70" s="29">
        <f>IF(OR(A70="",M70=0),"",R70/(M70/1.21))</f>
        <v/>
      </c>
      <c r="T70" s="25" t="n"/>
      <c r="U70" s="25" t="n"/>
      <c r="V70" s="25" t="n"/>
      <c r="W70" s="25" t="n"/>
      <c r="X70" s="26" t="n"/>
      <c r="Y70" s="26" t="n"/>
      <c r="Z70" s="25" t="n"/>
    </row>
    <row r="71">
      <c r="A71" s="25" t="n"/>
      <c r="B71" s="26" t="n"/>
      <c r="C71" s="25" t="n"/>
      <c r="D71" s="25" t="n"/>
      <c r="E71" s="25" t="n"/>
      <c r="F71" s="25" t="n"/>
      <c r="G71" s="25" t="n"/>
      <c r="H71" s="25" t="n"/>
      <c r="I71" s="25" t="n"/>
      <c r="J71" s="27">
        <f>IF(G71="","",IFERROR(INDEX(Parámetros!$B$8:$B$20,MATCH(G71,Parámetros!$A$8:$A$20,0)),""))</f>
        <v/>
      </c>
      <c r="K71" s="16" t="n"/>
      <c r="L71" s="16" t="n"/>
      <c r="M71" s="28">
        <f>IF(A71="","",I71*J71-K71+L71)</f>
        <v/>
      </c>
      <c r="N71" s="27">
        <f>IF(A71="","",IFERROR(I71*INDEX(Parámetros!$C$8:$C$20,MATCH(G71,Parámetros!$A$8:$A$20,0)),0))</f>
        <v/>
      </c>
      <c r="O71" s="27">
        <f>IF(A71="","",IFERROR(I71*INDEX(Parámetros!$D$8:$D$20,MATCH(G71,Parámetros!$A$8:$A$20,0)),0))</f>
        <v/>
      </c>
      <c r="P71" s="28">
        <f>IF(A71="","",M71*Parámetros!$B$3+Parámetros!$B$4)</f>
        <v/>
      </c>
      <c r="Q71" s="16" t="n"/>
      <c r="R71" s="28">
        <f>IF(A71="","",M71/1.21-N71-O71-P71-Q71)</f>
        <v/>
      </c>
      <c r="S71" s="29">
        <f>IF(OR(A71="",M71=0),"",R71/(M71/1.21))</f>
        <v/>
      </c>
      <c r="T71" s="25" t="n"/>
      <c r="U71" s="25" t="n"/>
      <c r="V71" s="25" t="n"/>
      <c r="W71" s="25" t="n"/>
      <c r="X71" s="26" t="n"/>
      <c r="Y71" s="26" t="n"/>
      <c r="Z71" s="25" t="n"/>
    </row>
    <row r="72">
      <c r="A72" s="25" t="n"/>
      <c r="B72" s="26" t="n"/>
      <c r="C72" s="25" t="n"/>
      <c r="D72" s="25" t="n"/>
      <c r="E72" s="25" t="n"/>
      <c r="F72" s="25" t="n"/>
      <c r="G72" s="25" t="n"/>
      <c r="H72" s="25" t="n"/>
      <c r="I72" s="25" t="n"/>
      <c r="J72" s="27">
        <f>IF(G72="","",IFERROR(INDEX(Parámetros!$B$8:$B$20,MATCH(G72,Parámetros!$A$8:$A$20,0)),""))</f>
        <v/>
      </c>
      <c r="K72" s="16" t="n"/>
      <c r="L72" s="16" t="n"/>
      <c r="M72" s="28">
        <f>IF(A72="","",I72*J72-K72+L72)</f>
        <v/>
      </c>
      <c r="N72" s="27">
        <f>IF(A72="","",IFERROR(I72*INDEX(Parámetros!$C$8:$C$20,MATCH(G72,Parámetros!$A$8:$A$20,0)),0))</f>
        <v/>
      </c>
      <c r="O72" s="27">
        <f>IF(A72="","",IFERROR(I72*INDEX(Parámetros!$D$8:$D$20,MATCH(G72,Parámetros!$A$8:$A$20,0)),0))</f>
        <v/>
      </c>
      <c r="P72" s="28">
        <f>IF(A72="","",M72*Parámetros!$B$3+Parámetros!$B$4)</f>
        <v/>
      </c>
      <c r="Q72" s="16" t="n"/>
      <c r="R72" s="28">
        <f>IF(A72="","",M72/1.21-N72-O72-P72-Q72)</f>
        <v/>
      </c>
      <c r="S72" s="29">
        <f>IF(OR(A72="",M72=0),"",R72/(M72/1.21))</f>
        <v/>
      </c>
      <c r="T72" s="25" t="n"/>
      <c r="U72" s="25" t="n"/>
      <c r="V72" s="25" t="n"/>
      <c r="W72" s="25" t="n"/>
      <c r="X72" s="26" t="n"/>
      <c r="Y72" s="26" t="n"/>
      <c r="Z72" s="25" t="n"/>
    </row>
    <row r="73">
      <c r="A73" s="25" t="n"/>
      <c r="B73" s="26" t="n"/>
      <c r="C73" s="25" t="n"/>
      <c r="D73" s="25" t="n"/>
      <c r="E73" s="25" t="n"/>
      <c r="F73" s="25" t="n"/>
      <c r="G73" s="25" t="n"/>
      <c r="H73" s="25" t="n"/>
      <c r="I73" s="25" t="n"/>
      <c r="J73" s="27">
        <f>IF(G73="","",IFERROR(INDEX(Parámetros!$B$8:$B$20,MATCH(G73,Parámetros!$A$8:$A$20,0)),""))</f>
        <v/>
      </c>
      <c r="K73" s="16" t="n"/>
      <c r="L73" s="16" t="n"/>
      <c r="M73" s="28">
        <f>IF(A73="","",I73*J73-K73+L73)</f>
        <v/>
      </c>
      <c r="N73" s="27">
        <f>IF(A73="","",IFERROR(I73*INDEX(Parámetros!$C$8:$C$20,MATCH(G73,Parámetros!$A$8:$A$20,0)),0))</f>
        <v/>
      </c>
      <c r="O73" s="27">
        <f>IF(A73="","",IFERROR(I73*INDEX(Parámetros!$D$8:$D$20,MATCH(G73,Parámetros!$A$8:$A$20,0)),0))</f>
        <v/>
      </c>
      <c r="P73" s="28">
        <f>IF(A73="","",M73*Parámetros!$B$3+Parámetros!$B$4)</f>
        <v/>
      </c>
      <c r="Q73" s="16" t="n"/>
      <c r="R73" s="28">
        <f>IF(A73="","",M73/1.21-N73-O73-P73-Q73)</f>
        <v/>
      </c>
      <c r="S73" s="29">
        <f>IF(OR(A73="",M73=0),"",R73/(M73/1.21))</f>
        <v/>
      </c>
      <c r="T73" s="25" t="n"/>
      <c r="U73" s="25" t="n"/>
      <c r="V73" s="25" t="n"/>
      <c r="W73" s="25" t="n"/>
      <c r="X73" s="26" t="n"/>
      <c r="Y73" s="26" t="n"/>
      <c r="Z73" s="25" t="n"/>
    </row>
    <row r="74">
      <c r="A74" s="25" t="n"/>
      <c r="B74" s="26" t="n"/>
      <c r="C74" s="25" t="n"/>
      <c r="D74" s="25" t="n"/>
      <c r="E74" s="25" t="n"/>
      <c r="F74" s="25" t="n"/>
      <c r="G74" s="25" t="n"/>
      <c r="H74" s="25" t="n"/>
      <c r="I74" s="25" t="n"/>
      <c r="J74" s="27">
        <f>IF(G74="","",IFERROR(INDEX(Parámetros!$B$8:$B$20,MATCH(G74,Parámetros!$A$8:$A$20,0)),""))</f>
        <v/>
      </c>
      <c r="K74" s="16" t="n"/>
      <c r="L74" s="16" t="n"/>
      <c r="M74" s="28">
        <f>IF(A74="","",I74*J74-K74+L74)</f>
        <v/>
      </c>
      <c r="N74" s="27">
        <f>IF(A74="","",IFERROR(I74*INDEX(Parámetros!$C$8:$C$20,MATCH(G74,Parámetros!$A$8:$A$20,0)),0))</f>
        <v/>
      </c>
      <c r="O74" s="27">
        <f>IF(A74="","",IFERROR(I74*INDEX(Parámetros!$D$8:$D$20,MATCH(G74,Parámetros!$A$8:$A$20,0)),0))</f>
        <v/>
      </c>
      <c r="P74" s="28">
        <f>IF(A74="","",M74*Parámetros!$B$3+Parámetros!$B$4)</f>
        <v/>
      </c>
      <c r="Q74" s="16" t="n"/>
      <c r="R74" s="28">
        <f>IF(A74="","",M74/1.21-N74-O74-P74-Q74)</f>
        <v/>
      </c>
      <c r="S74" s="29">
        <f>IF(OR(A74="",M74=0),"",R74/(M74/1.21))</f>
        <v/>
      </c>
      <c r="T74" s="25" t="n"/>
      <c r="U74" s="25" t="n"/>
      <c r="V74" s="25" t="n"/>
      <c r="W74" s="25" t="n"/>
      <c r="X74" s="26" t="n"/>
      <c r="Y74" s="26" t="n"/>
      <c r="Z74" s="25" t="n"/>
    </row>
    <row r="75">
      <c r="A75" s="25" t="n"/>
      <c r="B75" s="26" t="n"/>
      <c r="C75" s="25" t="n"/>
      <c r="D75" s="25" t="n"/>
      <c r="E75" s="25" t="n"/>
      <c r="F75" s="25" t="n"/>
      <c r="G75" s="25" t="n"/>
      <c r="H75" s="25" t="n"/>
      <c r="I75" s="25" t="n"/>
      <c r="J75" s="27">
        <f>IF(G75="","",IFERROR(INDEX(Parámetros!$B$8:$B$20,MATCH(G75,Parámetros!$A$8:$A$20,0)),""))</f>
        <v/>
      </c>
      <c r="K75" s="16" t="n"/>
      <c r="L75" s="16" t="n"/>
      <c r="M75" s="28">
        <f>IF(A75="","",I75*J75-K75+L75)</f>
        <v/>
      </c>
      <c r="N75" s="27">
        <f>IF(A75="","",IFERROR(I75*INDEX(Parámetros!$C$8:$C$20,MATCH(G75,Parámetros!$A$8:$A$20,0)),0))</f>
        <v/>
      </c>
      <c r="O75" s="27">
        <f>IF(A75="","",IFERROR(I75*INDEX(Parámetros!$D$8:$D$20,MATCH(G75,Parámetros!$A$8:$A$20,0)),0))</f>
        <v/>
      </c>
      <c r="P75" s="28">
        <f>IF(A75="","",M75*Parámetros!$B$3+Parámetros!$B$4)</f>
        <v/>
      </c>
      <c r="Q75" s="16" t="n"/>
      <c r="R75" s="28">
        <f>IF(A75="","",M75/1.21-N75-O75-P75-Q75)</f>
        <v/>
      </c>
      <c r="S75" s="29">
        <f>IF(OR(A75="",M75=0),"",R75/(M75/1.21))</f>
        <v/>
      </c>
      <c r="T75" s="25" t="n"/>
      <c r="U75" s="25" t="n"/>
      <c r="V75" s="25" t="n"/>
      <c r="W75" s="25" t="n"/>
      <c r="X75" s="26" t="n"/>
      <c r="Y75" s="26" t="n"/>
      <c r="Z75" s="25" t="n"/>
    </row>
    <row r="76">
      <c r="A76" s="25" t="n"/>
      <c r="B76" s="26" t="n"/>
      <c r="C76" s="25" t="n"/>
      <c r="D76" s="25" t="n"/>
      <c r="E76" s="25" t="n"/>
      <c r="F76" s="25" t="n"/>
      <c r="G76" s="25" t="n"/>
      <c r="H76" s="25" t="n"/>
      <c r="I76" s="25" t="n"/>
      <c r="J76" s="27">
        <f>IF(G76="","",IFERROR(INDEX(Parámetros!$B$8:$B$20,MATCH(G76,Parámetros!$A$8:$A$20,0)),""))</f>
        <v/>
      </c>
      <c r="K76" s="16" t="n"/>
      <c r="L76" s="16" t="n"/>
      <c r="M76" s="28">
        <f>IF(A76="","",I76*J76-K76+L76)</f>
        <v/>
      </c>
      <c r="N76" s="27">
        <f>IF(A76="","",IFERROR(I76*INDEX(Parámetros!$C$8:$C$20,MATCH(G76,Parámetros!$A$8:$A$20,0)),0))</f>
        <v/>
      </c>
      <c r="O76" s="27">
        <f>IF(A76="","",IFERROR(I76*INDEX(Parámetros!$D$8:$D$20,MATCH(G76,Parámetros!$A$8:$A$20,0)),0))</f>
        <v/>
      </c>
      <c r="P76" s="28">
        <f>IF(A76="","",M76*Parámetros!$B$3+Parámetros!$B$4)</f>
        <v/>
      </c>
      <c r="Q76" s="16" t="n"/>
      <c r="R76" s="28">
        <f>IF(A76="","",M76/1.21-N76-O76-P76-Q76)</f>
        <v/>
      </c>
      <c r="S76" s="29">
        <f>IF(OR(A76="",M76=0),"",R76/(M76/1.21))</f>
        <v/>
      </c>
      <c r="T76" s="25" t="n"/>
      <c r="U76" s="25" t="n"/>
      <c r="V76" s="25" t="n"/>
      <c r="W76" s="25" t="n"/>
      <c r="X76" s="26" t="n"/>
      <c r="Y76" s="26" t="n"/>
      <c r="Z76" s="25" t="n"/>
    </row>
    <row r="77">
      <c r="A77" s="25" t="n"/>
      <c r="B77" s="26" t="n"/>
      <c r="C77" s="25" t="n"/>
      <c r="D77" s="25" t="n"/>
      <c r="E77" s="25" t="n"/>
      <c r="F77" s="25" t="n"/>
      <c r="G77" s="25" t="n"/>
      <c r="H77" s="25" t="n"/>
      <c r="I77" s="25" t="n"/>
      <c r="J77" s="27">
        <f>IF(G77="","",IFERROR(INDEX(Parámetros!$B$8:$B$20,MATCH(G77,Parámetros!$A$8:$A$20,0)),""))</f>
        <v/>
      </c>
      <c r="K77" s="16" t="n"/>
      <c r="L77" s="16" t="n"/>
      <c r="M77" s="28">
        <f>IF(A77="","",I77*J77-K77+L77)</f>
        <v/>
      </c>
      <c r="N77" s="27">
        <f>IF(A77="","",IFERROR(I77*INDEX(Parámetros!$C$8:$C$20,MATCH(G77,Parámetros!$A$8:$A$20,0)),0))</f>
        <v/>
      </c>
      <c r="O77" s="27">
        <f>IF(A77="","",IFERROR(I77*INDEX(Parámetros!$D$8:$D$20,MATCH(G77,Parámetros!$A$8:$A$20,0)),0))</f>
        <v/>
      </c>
      <c r="P77" s="28">
        <f>IF(A77="","",M77*Parámetros!$B$3+Parámetros!$B$4)</f>
        <v/>
      </c>
      <c r="Q77" s="16" t="n"/>
      <c r="R77" s="28">
        <f>IF(A77="","",M77/1.21-N77-O77-P77-Q77)</f>
        <v/>
      </c>
      <c r="S77" s="29">
        <f>IF(OR(A77="",M77=0),"",R77/(M77/1.21))</f>
        <v/>
      </c>
      <c r="T77" s="25" t="n"/>
      <c r="U77" s="25" t="n"/>
      <c r="V77" s="25" t="n"/>
      <c r="W77" s="25" t="n"/>
      <c r="X77" s="26" t="n"/>
      <c r="Y77" s="26" t="n"/>
      <c r="Z77" s="25" t="n"/>
    </row>
    <row r="78">
      <c r="A78" s="25" t="n"/>
      <c r="B78" s="26" t="n"/>
      <c r="C78" s="25" t="n"/>
      <c r="D78" s="25" t="n"/>
      <c r="E78" s="25" t="n"/>
      <c r="F78" s="25" t="n"/>
      <c r="G78" s="25" t="n"/>
      <c r="H78" s="25" t="n"/>
      <c r="I78" s="25" t="n"/>
      <c r="J78" s="27">
        <f>IF(G78="","",IFERROR(INDEX(Parámetros!$B$8:$B$20,MATCH(G78,Parámetros!$A$8:$A$20,0)),""))</f>
        <v/>
      </c>
      <c r="K78" s="16" t="n"/>
      <c r="L78" s="16" t="n"/>
      <c r="M78" s="28">
        <f>IF(A78="","",I78*J78-K78+L78)</f>
        <v/>
      </c>
      <c r="N78" s="27">
        <f>IF(A78="","",IFERROR(I78*INDEX(Parámetros!$C$8:$C$20,MATCH(G78,Parámetros!$A$8:$A$20,0)),0))</f>
        <v/>
      </c>
      <c r="O78" s="27">
        <f>IF(A78="","",IFERROR(I78*INDEX(Parámetros!$D$8:$D$20,MATCH(G78,Parámetros!$A$8:$A$20,0)),0))</f>
        <v/>
      </c>
      <c r="P78" s="28">
        <f>IF(A78="","",M78*Parámetros!$B$3+Parámetros!$B$4)</f>
        <v/>
      </c>
      <c r="Q78" s="16" t="n"/>
      <c r="R78" s="28">
        <f>IF(A78="","",M78/1.21-N78-O78-P78-Q78)</f>
        <v/>
      </c>
      <c r="S78" s="29">
        <f>IF(OR(A78="",M78=0),"",R78/(M78/1.21))</f>
        <v/>
      </c>
      <c r="T78" s="25" t="n"/>
      <c r="U78" s="25" t="n"/>
      <c r="V78" s="25" t="n"/>
      <c r="W78" s="25" t="n"/>
      <c r="X78" s="26" t="n"/>
      <c r="Y78" s="26" t="n"/>
      <c r="Z78" s="25" t="n"/>
    </row>
    <row r="79">
      <c r="A79" s="25" t="n"/>
      <c r="B79" s="26" t="n"/>
      <c r="C79" s="25" t="n"/>
      <c r="D79" s="25" t="n"/>
      <c r="E79" s="25" t="n"/>
      <c r="F79" s="25" t="n"/>
      <c r="G79" s="25" t="n"/>
      <c r="H79" s="25" t="n"/>
      <c r="I79" s="25" t="n"/>
      <c r="J79" s="27">
        <f>IF(G79="","",IFERROR(INDEX(Parámetros!$B$8:$B$20,MATCH(G79,Parámetros!$A$8:$A$20,0)),""))</f>
        <v/>
      </c>
      <c r="K79" s="16" t="n"/>
      <c r="L79" s="16" t="n"/>
      <c r="M79" s="28">
        <f>IF(A79="","",I79*J79-K79+L79)</f>
        <v/>
      </c>
      <c r="N79" s="27">
        <f>IF(A79="","",IFERROR(I79*INDEX(Parámetros!$C$8:$C$20,MATCH(G79,Parámetros!$A$8:$A$20,0)),0))</f>
        <v/>
      </c>
      <c r="O79" s="27">
        <f>IF(A79="","",IFERROR(I79*INDEX(Parámetros!$D$8:$D$20,MATCH(G79,Parámetros!$A$8:$A$20,0)),0))</f>
        <v/>
      </c>
      <c r="P79" s="28">
        <f>IF(A79="","",M79*Parámetros!$B$3+Parámetros!$B$4)</f>
        <v/>
      </c>
      <c r="Q79" s="16" t="n"/>
      <c r="R79" s="28">
        <f>IF(A79="","",M79/1.21-N79-O79-P79-Q79)</f>
        <v/>
      </c>
      <c r="S79" s="29">
        <f>IF(OR(A79="",M79=0),"",R79/(M79/1.21))</f>
        <v/>
      </c>
      <c r="T79" s="25" t="n"/>
      <c r="U79" s="25" t="n"/>
      <c r="V79" s="25" t="n"/>
      <c r="W79" s="25" t="n"/>
      <c r="X79" s="26" t="n"/>
      <c r="Y79" s="26" t="n"/>
      <c r="Z79" s="25" t="n"/>
    </row>
    <row r="80">
      <c r="A80" s="25" t="n"/>
      <c r="B80" s="26" t="n"/>
      <c r="C80" s="25" t="n"/>
      <c r="D80" s="25" t="n"/>
      <c r="E80" s="25" t="n"/>
      <c r="F80" s="25" t="n"/>
      <c r="G80" s="25" t="n"/>
      <c r="H80" s="25" t="n"/>
      <c r="I80" s="25" t="n"/>
      <c r="J80" s="27">
        <f>IF(G80="","",IFERROR(INDEX(Parámetros!$B$8:$B$20,MATCH(G80,Parámetros!$A$8:$A$20,0)),""))</f>
        <v/>
      </c>
      <c r="K80" s="16" t="n"/>
      <c r="L80" s="16" t="n"/>
      <c r="M80" s="28">
        <f>IF(A80="","",I80*J80-K80+L80)</f>
        <v/>
      </c>
      <c r="N80" s="27">
        <f>IF(A80="","",IFERROR(I80*INDEX(Parámetros!$C$8:$C$20,MATCH(G80,Parámetros!$A$8:$A$20,0)),0))</f>
        <v/>
      </c>
      <c r="O80" s="27">
        <f>IF(A80="","",IFERROR(I80*INDEX(Parámetros!$D$8:$D$20,MATCH(G80,Parámetros!$A$8:$A$20,0)),0))</f>
        <v/>
      </c>
      <c r="P80" s="28">
        <f>IF(A80="","",M80*Parámetros!$B$3+Parámetros!$B$4)</f>
        <v/>
      </c>
      <c r="Q80" s="16" t="n"/>
      <c r="R80" s="28">
        <f>IF(A80="","",M80/1.21-N80-O80-P80-Q80)</f>
        <v/>
      </c>
      <c r="S80" s="29">
        <f>IF(OR(A80="",M80=0),"",R80/(M80/1.21))</f>
        <v/>
      </c>
      <c r="T80" s="25" t="n"/>
      <c r="U80" s="25" t="n"/>
      <c r="V80" s="25" t="n"/>
      <c r="W80" s="25" t="n"/>
      <c r="X80" s="26" t="n"/>
      <c r="Y80" s="26" t="n"/>
      <c r="Z80" s="25" t="n"/>
    </row>
    <row r="81">
      <c r="A81" s="25" t="n"/>
      <c r="B81" s="26" t="n"/>
      <c r="C81" s="25" t="n"/>
      <c r="D81" s="25" t="n"/>
      <c r="E81" s="25" t="n"/>
      <c r="F81" s="25" t="n"/>
      <c r="G81" s="25" t="n"/>
      <c r="H81" s="25" t="n"/>
      <c r="I81" s="25" t="n"/>
      <c r="J81" s="27">
        <f>IF(G81="","",IFERROR(INDEX(Parámetros!$B$8:$B$20,MATCH(G81,Parámetros!$A$8:$A$20,0)),""))</f>
        <v/>
      </c>
      <c r="K81" s="16" t="n"/>
      <c r="L81" s="16" t="n"/>
      <c r="M81" s="28">
        <f>IF(A81="","",I81*J81-K81+L81)</f>
        <v/>
      </c>
      <c r="N81" s="27">
        <f>IF(A81="","",IFERROR(I81*INDEX(Parámetros!$C$8:$C$20,MATCH(G81,Parámetros!$A$8:$A$20,0)),0))</f>
        <v/>
      </c>
      <c r="O81" s="27">
        <f>IF(A81="","",IFERROR(I81*INDEX(Parámetros!$D$8:$D$20,MATCH(G81,Parámetros!$A$8:$A$20,0)),0))</f>
        <v/>
      </c>
      <c r="P81" s="28">
        <f>IF(A81="","",M81*Parámetros!$B$3+Parámetros!$B$4)</f>
        <v/>
      </c>
      <c r="Q81" s="16" t="n"/>
      <c r="R81" s="28">
        <f>IF(A81="","",M81/1.21-N81-O81-P81-Q81)</f>
        <v/>
      </c>
      <c r="S81" s="29">
        <f>IF(OR(A81="",M81=0),"",R81/(M81/1.21))</f>
        <v/>
      </c>
      <c r="T81" s="25" t="n"/>
      <c r="U81" s="25" t="n"/>
      <c r="V81" s="25" t="n"/>
      <c r="W81" s="25" t="n"/>
      <c r="X81" s="26" t="n"/>
      <c r="Y81" s="26" t="n"/>
      <c r="Z81" s="25" t="n"/>
    </row>
    <row r="82">
      <c r="A82" s="25" t="n"/>
      <c r="B82" s="26" t="n"/>
      <c r="C82" s="25" t="n"/>
      <c r="D82" s="25" t="n"/>
      <c r="E82" s="25" t="n"/>
      <c r="F82" s="25" t="n"/>
      <c r="G82" s="25" t="n"/>
      <c r="H82" s="25" t="n"/>
      <c r="I82" s="25" t="n"/>
      <c r="J82" s="27">
        <f>IF(G82="","",IFERROR(INDEX(Parámetros!$B$8:$B$20,MATCH(G82,Parámetros!$A$8:$A$20,0)),""))</f>
        <v/>
      </c>
      <c r="K82" s="16" t="n"/>
      <c r="L82" s="16" t="n"/>
      <c r="M82" s="28">
        <f>IF(A82="","",I82*J82-K82+L82)</f>
        <v/>
      </c>
      <c r="N82" s="27">
        <f>IF(A82="","",IFERROR(I82*INDEX(Parámetros!$C$8:$C$20,MATCH(G82,Parámetros!$A$8:$A$20,0)),0))</f>
        <v/>
      </c>
      <c r="O82" s="27">
        <f>IF(A82="","",IFERROR(I82*INDEX(Parámetros!$D$8:$D$20,MATCH(G82,Parámetros!$A$8:$A$20,0)),0))</f>
        <v/>
      </c>
      <c r="P82" s="28">
        <f>IF(A82="","",M82*Parámetros!$B$3+Parámetros!$B$4)</f>
        <v/>
      </c>
      <c r="Q82" s="16" t="n"/>
      <c r="R82" s="28">
        <f>IF(A82="","",M82/1.21-N82-O82-P82-Q82)</f>
        <v/>
      </c>
      <c r="S82" s="29">
        <f>IF(OR(A82="",M82=0),"",R82/(M82/1.21))</f>
        <v/>
      </c>
      <c r="T82" s="25" t="n"/>
      <c r="U82" s="25" t="n"/>
      <c r="V82" s="25" t="n"/>
      <c r="W82" s="25" t="n"/>
      <c r="X82" s="26" t="n"/>
      <c r="Y82" s="26" t="n"/>
      <c r="Z82" s="25" t="n"/>
    </row>
    <row r="83">
      <c r="A83" s="25" t="n"/>
      <c r="B83" s="26" t="n"/>
      <c r="C83" s="25" t="n"/>
      <c r="D83" s="25" t="n"/>
      <c r="E83" s="25" t="n"/>
      <c r="F83" s="25" t="n"/>
      <c r="G83" s="25" t="n"/>
      <c r="H83" s="25" t="n"/>
      <c r="I83" s="25" t="n"/>
      <c r="J83" s="27">
        <f>IF(G83="","",IFERROR(INDEX(Parámetros!$B$8:$B$20,MATCH(G83,Parámetros!$A$8:$A$20,0)),""))</f>
        <v/>
      </c>
      <c r="K83" s="16" t="n"/>
      <c r="L83" s="16" t="n"/>
      <c r="M83" s="28">
        <f>IF(A83="","",I83*J83-K83+L83)</f>
        <v/>
      </c>
      <c r="N83" s="27">
        <f>IF(A83="","",IFERROR(I83*INDEX(Parámetros!$C$8:$C$20,MATCH(G83,Parámetros!$A$8:$A$20,0)),0))</f>
        <v/>
      </c>
      <c r="O83" s="27">
        <f>IF(A83="","",IFERROR(I83*INDEX(Parámetros!$D$8:$D$20,MATCH(G83,Parámetros!$A$8:$A$20,0)),0))</f>
        <v/>
      </c>
      <c r="P83" s="28">
        <f>IF(A83="","",M83*Parámetros!$B$3+Parámetros!$B$4)</f>
        <v/>
      </c>
      <c r="Q83" s="16" t="n"/>
      <c r="R83" s="28">
        <f>IF(A83="","",M83/1.21-N83-O83-P83-Q83)</f>
        <v/>
      </c>
      <c r="S83" s="29">
        <f>IF(OR(A83="",M83=0),"",R83/(M83/1.21))</f>
        <v/>
      </c>
      <c r="T83" s="25" t="n"/>
      <c r="U83" s="25" t="n"/>
      <c r="V83" s="25" t="n"/>
      <c r="W83" s="25" t="n"/>
      <c r="X83" s="26" t="n"/>
      <c r="Y83" s="26" t="n"/>
      <c r="Z83" s="25" t="n"/>
    </row>
    <row r="84">
      <c r="A84" s="25" t="n"/>
      <c r="B84" s="26" t="n"/>
      <c r="C84" s="25" t="n"/>
      <c r="D84" s="25" t="n"/>
      <c r="E84" s="25" t="n"/>
      <c r="F84" s="25" t="n"/>
      <c r="G84" s="25" t="n"/>
      <c r="H84" s="25" t="n"/>
      <c r="I84" s="25" t="n"/>
      <c r="J84" s="27">
        <f>IF(G84="","",IFERROR(INDEX(Parámetros!$B$8:$B$20,MATCH(G84,Parámetros!$A$8:$A$20,0)),""))</f>
        <v/>
      </c>
      <c r="K84" s="16" t="n"/>
      <c r="L84" s="16" t="n"/>
      <c r="M84" s="28">
        <f>IF(A84="","",I84*J84-K84+L84)</f>
        <v/>
      </c>
      <c r="N84" s="27">
        <f>IF(A84="","",IFERROR(I84*INDEX(Parámetros!$C$8:$C$20,MATCH(G84,Parámetros!$A$8:$A$20,0)),0))</f>
        <v/>
      </c>
      <c r="O84" s="27">
        <f>IF(A84="","",IFERROR(I84*INDEX(Parámetros!$D$8:$D$20,MATCH(G84,Parámetros!$A$8:$A$20,0)),0))</f>
        <v/>
      </c>
      <c r="P84" s="28">
        <f>IF(A84="","",M84*Parámetros!$B$3+Parámetros!$B$4)</f>
        <v/>
      </c>
      <c r="Q84" s="16" t="n"/>
      <c r="R84" s="28">
        <f>IF(A84="","",M84/1.21-N84-O84-P84-Q84)</f>
        <v/>
      </c>
      <c r="S84" s="29">
        <f>IF(OR(A84="",M84=0),"",R84/(M84/1.21))</f>
        <v/>
      </c>
      <c r="T84" s="25" t="n"/>
      <c r="U84" s="25" t="n"/>
      <c r="V84" s="25" t="n"/>
      <c r="W84" s="25" t="n"/>
      <c r="X84" s="26" t="n"/>
      <c r="Y84" s="26" t="n"/>
      <c r="Z84" s="25" t="n"/>
    </row>
    <row r="85">
      <c r="A85" s="25" t="n"/>
      <c r="B85" s="26" t="n"/>
      <c r="C85" s="25" t="n"/>
      <c r="D85" s="25" t="n"/>
      <c r="E85" s="25" t="n"/>
      <c r="F85" s="25" t="n"/>
      <c r="G85" s="25" t="n"/>
      <c r="H85" s="25" t="n"/>
      <c r="I85" s="25" t="n"/>
      <c r="J85" s="27">
        <f>IF(G85="","",IFERROR(INDEX(Parámetros!$B$8:$B$20,MATCH(G85,Parámetros!$A$8:$A$20,0)),""))</f>
        <v/>
      </c>
      <c r="K85" s="16" t="n"/>
      <c r="L85" s="16" t="n"/>
      <c r="M85" s="28">
        <f>IF(A85="","",I85*J85-K85+L85)</f>
        <v/>
      </c>
      <c r="N85" s="27">
        <f>IF(A85="","",IFERROR(I85*INDEX(Parámetros!$C$8:$C$20,MATCH(G85,Parámetros!$A$8:$A$20,0)),0))</f>
        <v/>
      </c>
      <c r="O85" s="27">
        <f>IF(A85="","",IFERROR(I85*INDEX(Parámetros!$D$8:$D$20,MATCH(G85,Parámetros!$A$8:$A$20,0)),0))</f>
        <v/>
      </c>
      <c r="P85" s="28">
        <f>IF(A85="","",M85*Parámetros!$B$3+Parámetros!$B$4)</f>
        <v/>
      </c>
      <c r="Q85" s="16" t="n"/>
      <c r="R85" s="28">
        <f>IF(A85="","",M85/1.21-N85-O85-P85-Q85)</f>
        <v/>
      </c>
      <c r="S85" s="29">
        <f>IF(OR(A85="",M85=0),"",R85/(M85/1.21))</f>
        <v/>
      </c>
      <c r="T85" s="25" t="n"/>
      <c r="U85" s="25" t="n"/>
      <c r="V85" s="25" t="n"/>
      <c r="W85" s="25" t="n"/>
      <c r="X85" s="26" t="n"/>
      <c r="Y85" s="26" t="n"/>
      <c r="Z85" s="25" t="n"/>
    </row>
    <row r="86">
      <c r="A86" s="25" t="n"/>
      <c r="B86" s="26" t="n"/>
      <c r="C86" s="25" t="n"/>
      <c r="D86" s="25" t="n"/>
      <c r="E86" s="25" t="n"/>
      <c r="F86" s="25" t="n"/>
      <c r="G86" s="25" t="n"/>
      <c r="H86" s="25" t="n"/>
      <c r="I86" s="25" t="n"/>
      <c r="J86" s="27">
        <f>IF(G86="","",IFERROR(INDEX(Parámetros!$B$8:$B$20,MATCH(G86,Parámetros!$A$8:$A$20,0)),""))</f>
        <v/>
      </c>
      <c r="K86" s="16" t="n"/>
      <c r="L86" s="16" t="n"/>
      <c r="M86" s="28">
        <f>IF(A86="","",I86*J86-K86+L86)</f>
        <v/>
      </c>
      <c r="N86" s="27">
        <f>IF(A86="","",IFERROR(I86*INDEX(Parámetros!$C$8:$C$20,MATCH(G86,Parámetros!$A$8:$A$20,0)),0))</f>
        <v/>
      </c>
      <c r="O86" s="27">
        <f>IF(A86="","",IFERROR(I86*INDEX(Parámetros!$D$8:$D$20,MATCH(G86,Parámetros!$A$8:$A$20,0)),0))</f>
        <v/>
      </c>
      <c r="P86" s="28">
        <f>IF(A86="","",M86*Parámetros!$B$3+Parámetros!$B$4)</f>
        <v/>
      </c>
      <c r="Q86" s="16" t="n"/>
      <c r="R86" s="28">
        <f>IF(A86="","",M86/1.21-N86-O86-P86-Q86)</f>
        <v/>
      </c>
      <c r="S86" s="29">
        <f>IF(OR(A86="",M86=0),"",R86/(M86/1.21))</f>
        <v/>
      </c>
      <c r="T86" s="25" t="n"/>
      <c r="U86" s="25" t="n"/>
      <c r="V86" s="25" t="n"/>
      <c r="W86" s="25" t="n"/>
      <c r="X86" s="26" t="n"/>
      <c r="Y86" s="26" t="n"/>
      <c r="Z86" s="25" t="n"/>
    </row>
    <row r="87">
      <c r="A87" s="25" t="n"/>
      <c r="B87" s="26" t="n"/>
      <c r="C87" s="25" t="n"/>
      <c r="D87" s="25" t="n"/>
      <c r="E87" s="25" t="n"/>
      <c r="F87" s="25" t="n"/>
      <c r="G87" s="25" t="n"/>
      <c r="H87" s="25" t="n"/>
      <c r="I87" s="25" t="n"/>
      <c r="J87" s="27">
        <f>IF(G87="","",IFERROR(INDEX(Parámetros!$B$8:$B$20,MATCH(G87,Parámetros!$A$8:$A$20,0)),""))</f>
        <v/>
      </c>
      <c r="K87" s="16" t="n"/>
      <c r="L87" s="16" t="n"/>
      <c r="M87" s="28">
        <f>IF(A87="","",I87*J87-K87+L87)</f>
        <v/>
      </c>
      <c r="N87" s="27">
        <f>IF(A87="","",IFERROR(I87*INDEX(Parámetros!$C$8:$C$20,MATCH(G87,Parámetros!$A$8:$A$20,0)),0))</f>
        <v/>
      </c>
      <c r="O87" s="27">
        <f>IF(A87="","",IFERROR(I87*INDEX(Parámetros!$D$8:$D$20,MATCH(G87,Parámetros!$A$8:$A$20,0)),0))</f>
        <v/>
      </c>
      <c r="P87" s="28">
        <f>IF(A87="","",M87*Parámetros!$B$3+Parámetros!$B$4)</f>
        <v/>
      </c>
      <c r="Q87" s="16" t="n"/>
      <c r="R87" s="28">
        <f>IF(A87="","",M87/1.21-N87-O87-P87-Q87)</f>
        <v/>
      </c>
      <c r="S87" s="29">
        <f>IF(OR(A87="",M87=0),"",R87/(M87/1.21))</f>
        <v/>
      </c>
      <c r="T87" s="25" t="n"/>
      <c r="U87" s="25" t="n"/>
      <c r="V87" s="25" t="n"/>
      <c r="W87" s="25" t="n"/>
      <c r="X87" s="26" t="n"/>
      <c r="Y87" s="26" t="n"/>
      <c r="Z87" s="25" t="n"/>
    </row>
    <row r="88">
      <c r="A88" s="25" t="n"/>
      <c r="B88" s="26" t="n"/>
      <c r="C88" s="25" t="n"/>
      <c r="D88" s="25" t="n"/>
      <c r="E88" s="25" t="n"/>
      <c r="F88" s="25" t="n"/>
      <c r="G88" s="25" t="n"/>
      <c r="H88" s="25" t="n"/>
      <c r="I88" s="25" t="n"/>
      <c r="J88" s="27">
        <f>IF(G88="","",IFERROR(INDEX(Parámetros!$B$8:$B$20,MATCH(G88,Parámetros!$A$8:$A$20,0)),""))</f>
        <v/>
      </c>
      <c r="K88" s="16" t="n"/>
      <c r="L88" s="16" t="n"/>
      <c r="M88" s="28">
        <f>IF(A88="","",I88*J88-K88+L88)</f>
        <v/>
      </c>
      <c r="N88" s="27">
        <f>IF(A88="","",IFERROR(I88*INDEX(Parámetros!$C$8:$C$20,MATCH(G88,Parámetros!$A$8:$A$20,0)),0))</f>
        <v/>
      </c>
      <c r="O88" s="27">
        <f>IF(A88="","",IFERROR(I88*INDEX(Parámetros!$D$8:$D$20,MATCH(G88,Parámetros!$A$8:$A$20,0)),0))</f>
        <v/>
      </c>
      <c r="P88" s="28">
        <f>IF(A88="","",M88*Parámetros!$B$3+Parámetros!$B$4)</f>
        <v/>
      </c>
      <c r="Q88" s="16" t="n"/>
      <c r="R88" s="28">
        <f>IF(A88="","",M88/1.21-N88-O88-P88-Q88)</f>
        <v/>
      </c>
      <c r="S88" s="29">
        <f>IF(OR(A88="",M88=0),"",R88/(M88/1.21))</f>
        <v/>
      </c>
      <c r="T88" s="25" t="n"/>
      <c r="U88" s="25" t="n"/>
      <c r="V88" s="25" t="n"/>
      <c r="W88" s="25" t="n"/>
      <c r="X88" s="26" t="n"/>
      <c r="Y88" s="26" t="n"/>
      <c r="Z88" s="25" t="n"/>
    </row>
    <row r="89">
      <c r="A89" s="25" t="n"/>
      <c r="B89" s="26" t="n"/>
      <c r="C89" s="25" t="n"/>
      <c r="D89" s="25" t="n"/>
      <c r="E89" s="25" t="n"/>
      <c r="F89" s="25" t="n"/>
      <c r="G89" s="25" t="n"/>
      <c r="H89" s="25" t="n"/>
      <c r="I89" s="25" t="n"/>
      <c r="J89" s="27">
        <f>IF(G89="","",IFERROR(INDEX(Parámetros!$B$8:$B$20,MATCH(G89,Parámetros!$A$8:$A$20,0)),""))</f>
        <v/>
      </c>
      <c r="K89" s="16" t="n"/>
      <c r="L89" s="16" t="n"/>
      <c r="M89" s="28">
        <f>IF(A89="","",I89*J89-K89+L89)</f>
        <v/>
      </c>
      <c r="N89" s="27">
        <f>IF(A89="","",IFERROR(I89*INDEX(Parámetros!$C$8:$C$20,MATCH(G89,Parámetros!$A$8:$A$20,0)),0))</f>
        <v/>
      </c>
      <c r="O89" s="27">
        <f>IF(A89="","",IFERROR(I89*INDEX(Parámetros!$D$8:$D$20,MATCH(G89,Parámetros!$A$8:$A$20,0)),0))</f>
        <v/>
      </c>
      <c r="P89" s="28">
        <f>IF(A89="","",M89*Parámetros!$B$3+Parámetros!$B$4)</f>
        <v/>
      </c>
      <c r="Q89" s="16" t="n"/>
      <c r="R89" s="28">
        <f>IF(A89="","",M89/1.21-N89-O89-P89-Q89)</f>
        <v/>
      </c>
      <c r="S89" s="29">
        <f>IF(OR(A89="",M89=0),"",R89/(M89/1.21))</f>
        <v/>
      </c>
      <c r="T89" s="25" t="n"/>
      <c r="U89" s="25" t="n"/>
      <c r="V89" s="25" t="n"/>
      <c r="W89" s="25" t="n"/>
      <c r="X89" s="26" t="n"/>
      <c r="Y89" s="26" t="n"/>
      <c r="Z89" s="25" t="n"/>
    </row>
    <row r="90">
      <c r="A90" s="25" t="n"/>
      <c r="B90" s="26" t="n"/>
      <c r="C90" s="25" t="n"/>
      <c r="D90" s="25" t="n"/>
      <c r="E90" s="25" t="n"/>
      <c r="F90" s="25" t="n"/>
      <c r="G90" s="25" t="n"/>
      <c r="H90" s="25" t="n"/>
      <c r="I90" s="25" t="n"/>
      <c r="J90" s="27">
        <f>IF(G90="","",IFERROR(INDEX(Parámetros!$B$8:$B$20,MATCH(G90,Parámetros!$A$8:$A$20,0)),""))</f>
        <v/>
      </c>
      <c r="K90" s="16" t="n"/>
      <c r="L90" s="16" t="n"/>
      <c r="M90" s="28">
        <f>IF(A90="","",I90*J90-K90+L90)</f>
        <v/>
      </c>
      <c r="N90" s="27">
        <f>IF(A90="","",IFERROR(I90*INDEX(Parámetros!$C$8:$C$20,MATCH(G90,Parámetros!$A$8:$A$20,0)),0))</f>
        <v/>
      </c>
      <c r="O90" s="27">
        <f>IF(A90="","",IFERROR(I90*INDEX(Parámetros!$D$8:$D$20,MATCH(G90,Parámetros!$A$8:$A$20,0)),0))</f>
        <v/>
      </c>
      <c r="P90" s="28">
        <f>IF(A90="","",M90*Parámetros!$B$3+Parámetros!$B$4)</f>
        <v/>
      </c>
      <c r="Q90" s="16" t="n"/>
      <c r="R90" s="28">
        <f>IF(A90="","",M90/1.21-N90-O90-P90-Q90)</f>
        <v/>
      </c>
      <c r="S90" s="29">
        <f>IF(OR(A90="",M90=0),"",R90/(M90/1.21))</f>
        <v/>
      </c>
      <c r="T90" s="25" t="n"/>
      <c r="U90" s="25" t="n"/>
      <c r="V90" s="25" t="n"/>
      <c r="W90" s="25" t="n"/>
      <c r="X90" s="26" t="n"/>
      <c r="Y90" s="26" t="n"/>
      <c r="Z90" s="25" t="n"/>
    </row>
    <row r="91">
      <c r="A91" s="25" t="n"/>
      <c r="B91" s="26" t="n"/>
      <c r="C91" s="25" t="n"/>
      <c r="D91" s="25" t="n"/>
      <c r="E91" s="25" t="n"/>
      <c r="F91" s="25" t="n"/>
      <c r="G91" s="25" t="n"/>
      <c r="H91" s="25" t="n"/>
      <c r="I91" s="25" t="n"/>
      <c r="J91" s="27">
        <f>IF(G91="","",IFERROR(INDEX(Parámetros!$B$8:$B$20,MATCH(G91,Parámetros!$A$8:$A$20,0)),""))</f>
        <v/>
      </c>
      <c r="K91" s="16" t="n"/>
      <c r="L91" s="16" t="n"/>
      <c r="M91" s="28">
        <f>IF(A91="","",I91*J91-K91+L91)</f>
        <v/>
      </c>
      <c r="N91" s="27">
        <f>IF(A91="","",IFERROR(I91*INDEX(Parámetros!$C$8:$C$20,MATCH(G91,Parámetros!$A$8:$A$20,0)),0))</f>
        <v/>
      </c>
      <c r="O91" s="27">
        <f>IF(A91="","",IFERROR(I91*INDEX(Parámetros!$D$8:$D$20,MATCH(G91,Parámetros!$A$8:$A$20,0)),0))</f>
        <v/>
      </c>
      <c r="P91" s="28">
        <f>IF(A91="","",M91*Parámetros!$B$3+Parámetros!$B$4)</f>
        <v/>
      </c>
      <c r="Q91" s="16" t="n"/>
      <c r="R91" s="28">
        <f>IF(A91="","",M91/1.21-N91-O91-P91-Q91)</f>
        <v/>
      </c>
      <c r="S91" s="29">
        <f>IF(OR(A91="",M91=0),"",R91/(M91/1.21))</f>
        <v/>
      </c>
      <c r="T91" s="25" t="n"/>
      <c r="U91" s="25" t="n"/>
      <c r="V91" s="25" t="n"/>
      <c r="W91" s="25" t="n"/>
      <c r="X91" s="26" t="n"/>
      <c r="Y91" s="26" t="n"/>
      <c r="Z91" s="25" t="n"/>
    </row>
    <row r="92">
      <c r="A92" s="25" t="n"/>
      <c r="B92" s="26" t="n"/>
      <c r="C92" s="25" t="n"/>
      <c r="D92" s="25" t="n"/>
      <c r="E92" s="25" t="n"/>
      <c r="F92" s="25" t="n"/>
      <c r="G92" s="25" t="n"/>
      <c r="H92" s="25" t="n"/>
      <c r="I92" s="25" t="n"/>
      <c r="J92" s="27">
        <f>IF(G92="","",IFERROR(INDEX(Parámetros!$B$8:$B$20,MATCH(G92,Parámetros!$A$8:$A$20,0)),""))</f>
        <v/>
      </c>
      <c r="K92" s="16" t="n"/>
      <c r="L92" s="16" t="n"/>
      <c r="M92" s="28">
        <f>IF(A92="","",I92*J92-K92+L92)</f>
        <v/>
      </c>
      <c r="N92" s="27">
        <f>IF(A92="","",IFERROR(I92*INDEX(Parámetros!$C$8:$C$20,MATCH(G92,Parámetros!$A$8:$A$20,0)),0))</f>
        <v/>
      </c>
      <c r="O92" s="27">
        <f>IF(A92="","",IFERROR(I92*INDEX(Parámetros!$D$8:$D$20,MATCH(G92,Parámetros!$A$8:$A$20,0)),0))</f>
        <v/>
      </c>
      <c r="P92" s="28">
        <f>IF(A92="","",M92*Parámetros!$B$3+Parámetros!$B$4)</f>
        <v/>
      </c>
      <c r="Q92" s="16" t="n"/>
      <c r="R92" s="28">
        <f>IF(A92="","",M92/1.21-N92-O92-P92-Q92)</f>
        <v/>
      </c>
      <c r="S92" s="29">
        <f>IF(OR(A92="",M92=0),"",R92/(M92/1.21))</f>
        <v/>
      </c>
      <c r="T92" s="25" t="n"/>
      <c r="U92" s="25" t="n"/>
      <c r="V92" s="25" t="n"/>
      <c r="W92" s="25" t="n"/>
      <c r="X92" s="26" t="n"/>
      <c r="Y92" s="26" t="n"/>
      <c r="Z92" s="25" t="n"/>
    </row>
    <row r="93">
      <c r="A93" s="25" t="n"/>
      <c r="B93" s="26" t="n"/>
      <c r="C93" s="25" t="n"/>
      <c r="D93" s="25" t="n"/>
      <c r="E93" s="25" t="n"/>
      <c r="F93" s="25" t="n"/>
      <c r="G93" s="25" t="n"/>
      <c r="H93" s="25" t="n"/>
      <c r="I93" s="25" t="n"/>
      <c r="J93" s="27">
        <f>IF(G93="","",IFERROR(INDEX(Parámetros!$B$8:$B$20,MATCH(G93,Parámetros!$A$8:$A$20,0)),""))</f>
        <v/>
      </c>
      <c r="K93" s="16" t="n"/>
      <c r="L93" s="16" t="n"/>
      <c r="M93" s="28">
        <f>IF(A93="","",I93*J93-K93+L93)</f>
        <v/>
      </c>
      <c r="N93" s="27">
        <f>IF(A93="","",IFERROR(I93*INDEX(Parámetros!$C$8:$C$20,MATCH(G93,Parámetros!$A$8:$A$20,0)),0))</f>
        <v/>
      </c>
      <c r="O93" s="27">
        <f>IF(A93="","",IFERROR(I93*INDEX(Parámetros!$D$8:$D$20,MATCH(G93,Parámetros!$A$8:$A$20,0)),0))</f>
        <v/>
      </c>
      <c r="P93" s="28">
        <f>IF(A93="","",M93*Parámetros!$B$3+Parámetros!$B$4)</f>
        <v/>
      </c>
      <c r="Q93" s="16" t="n"/>
      <c r="R93" s="28">
        <f>IF(A93="","",M93/1.21-N93-O93-P93-Q93)</f>
        <v/>
      </c>
      <c r="S93" s="29">
        <f>IF(OR(A93="",M93=0),"",R93/(M93/1.21))</f>
        <v/>
      </c>
      <c r="T93" s="25" t="n"/>
      <c r="U93" s="25" t="n"/>
      <c r="V93" s="25" t="n"/>
      <c r="W93" s="25" t="n"/>
      <c r="X93" s="26" t="n"/>
      <c r="Y93" s="26" t="n"/>
      <c r="Z93" s="25" t="n"/>
    </row>
    <row r="94">
      <c r="A94" s="25" t="n"/>
      <c r="B94" s="26" t="n"/>
      <c r="C94" s="25" t="n"/>
      <c r="D94" s="25" t="n"/>
      <c r="E94" s="25" t="n"/>
      <c r="F94" s="25" t="n"/>
      <c r="G94" s="25" t="n"/>
      <c r="H94" s="25" t="n"/>
      <c r="I94" s="25" t="n"/>
      <c r="J94" s="27">
        <f>IF(G94="","",IFERROR(INDEX(Parámetros!$B$8:$B$20,MATCH(G94,Parámetros!$A$8:$A$20,0)),""))</f>
        <v/>
      </c>
      <c r="K94" s="16" t="n"/>
      <c r="L94" s="16" t="n"/>
      <c r="M94" s="28">
        <f>IF(A94="","",I94*J94-K94+L94)</f>
        <v/>
      </c>
      <c r="N94" s="27">
        <f>IF(A94="","",IFERROR(I94*INDEX(Parámetros!$C$8:$C$20,MATCH(G94,Parámetros!$A$8:$A$20,0)),0))</f>
        <v/>
      </c>
      <c r="O94" s="27">
        <f>IF(A94="","",IFERROR(I94*INDEX(Parámetros!$D$8:$D$20,MATCH(G94,Parámetros!$A$8:$A$20,0)),0))</f>
        <v/>
      </c>
      <c r="P94" s="28">
        <f>IF(A94="","",M94*Parámetros!$B$3+Parámetros!$B$4)</f>
        <v/>
      </c>
      <c r="Q94" s="16" t="n"/>
      <c r="R94" s="28">
        <f>IF(A94="","",M94/1.21-N94-O94-P94-Q94)</f>
        <v/>
      </c>
      <c r="S94" s="29">
        <f>IF(OR(A94="",M94=0),"",R94/(M94/1.21))</f>
        <v/>
      </c>
      <c r="T94" s="25" t="n"/>
      <c r="U94" s="25" t="n"/>
      <c r="V94" s="25" t="n"/>
      <c r="W94" s="25" t="n"/>
      <c r="X94" s="26" t="n"/>
      <c r="Y94" s="26" t="n"/>
      <c r="Z94" s="25" t="n"/>
    </row>
    <row r="95">
      <c r="A95" s="25" t="n"/>
      <c r="B95" s="26" t="n"/>
      <c r="C95" s="25" t="n"/>
      <c r="D95" s="25" t="n"/>
      <c r="E95" s="25" t="n"/>
      <c r="F95" s="25" t="n"/>
      <c r="G95" s="25" t="n"/>
      <c r="H95" s="25" t="n"/>
      <c r="I95" s="25" t="n"/>
      <c r="J95" s="27">
        <f>IF(G95="","",IFERROR(INDEX(Parámetros!$B$8:$B$20,MATCH(G95,Parámetros!$A$8:$A$20,0)),""))</f>
        <v/>
      </c>
      <c r="K95" s="16" t="n"/>
      <c r="L95" s="16" t="n"/>
      <c r="M95" s="28">
        <f>IF(A95="","",I95*J95-K95+L95)</f>
        <v/>
      </c>
      <c r="N95" s="27">
        <f>IF(A95="","",IFERROR(I95*INDEX(Parámetros!$C$8:$C$20,MATCH(G95,Parámetros!$A$8:$A$20,0)),0))</f>
        <v/>
      </c>
      <c r="O95" s="27">
        <f>IF(A95="","",IFERROR(I95*INDEX(Parámetros!$D$8:$D$20,MATCH(G95,Parámetros!$A$8:$A$20,0)),0))</f>
        <v/>
      </c>
      <c r="P95" s="28">
        <f>IF(A95="","",M95*Parámetros!$B$3+Parámetros!$B$4)</f>
        <v/>
      </c>
      <c r="Q95" s="16" t="n"/>
      <c r="R95" s="28">
        <f>IF(A95="","",M95/1.21-N95-O95-P95-Q95)</f>
        <v/>
      </c>
      <c r="S95" s="29">
        <f>IF(OR(A95="",M95=0),"",R95/(M95/1.21))</f>
        <v/>
      </c>
      <c r="T95" s="25" t="n"/>
      <c r="U95" s="25" t="n"/>
      <c r="V95" s="25" t="n"/>
      <c r="W95" s="25" t="n"/>
      <c r="X95" s="26" t="n"/>
      <c r="Y95" s="26" t="n"/>
      <c r="Z95" s="25" t="n"/>
    </row>
    <row r="96">
      <c r="A96" s="25" t="n"/>
      <c r="B96" s="26" t="n"/>
      <c r="C96" s="25" t="n"/>
      <c r="D96" s="25" t="n"/>
      <c r="E96" s="25" t="n"/>
      <c r="F96" s="25" t="n"/>
      <c r="G96" s="25" t="n"/>
      <c r="H96" s="25" t="n"/>
      <c r="I96" s="25" t="n"/>
      <c r="J96" s="27">
        <f>IF(G96="","",IFERROR(INDEX(Parámetros!$B$8:$B$20,MATCH(G96,Parámetros!$A$8:$A$20,0)),""))</f>
        <v/>
      </c>
      <c r="K96" s="16" t="n"/>
      <c r="L96" s="16" t="n"/>
      <c r="M96" s="28">
        <f>IF(A96="","",I96*J96-K96+L96)</f>
        <v/>
      </c>
      <c r="N96" s="27">
        <f>IF(A96="","",IFERROR(I96*INDEX(Parámetros!$C$8:$C$20,MATCH(G96,Parámetros!$A$8:$A$20,0)),0))</f>
        <v/>
      </c>
      <c r="O96" s="27">
        <f>IF(A96="","",IFERROR(I96*INDEX(Parámetros!$D$8:$D$20,MATCH(G96,Parámetros!$A$8:$A$20,0)),0))</f>
        <v/>
      </c>
      <c r="P96" s="28">
        <f>IF(A96="","",M96*Parámetros!$B$3+Parámetros!$B$4)</f>
        <v/>
      </c>
      <c r="Q96" s="16" t="n"/>
      <c r="R96" s="28">
        <f>IF(A96="","",M96/1.21-N96-O96-P96-Q96)</f>
        <v/>
      </c>
      <c r="S96" s="29">
        <f>IF(OR(A96="",M96=0),"",R96/(M96/1.21))</f>
        <v/>
      </c>
      <c r="T96" s="25" t="n"/>
      <c r="U96" s="25" t="n"/>
      <c r="V96" s="25" t="n"/>
      <c r="W96" s="25" t="n"/>
      <c r="X96" s="26" t="n"/>
      <c r="Y96" s="26" t="n"/>
      <c r="Z96" s="25" t="n"/>
    </row>
    <row r="97">
      <c r="A97" s="25" t="n"/>
      <c r="B97" s="26" t="n"/>
      <c r="C97" s="25" t="n"/>
      <c r="D97" s="25" t="n"/>
      <c r="E97" s="25" t="n"/>
      <c r="F97" s="25" t="n"/>
      <c r="G97" s="25" t="n"/>
      <c r="H97" s="25" t="n"/>
      <c r="I97" s="25" t="n"/>
      <c r="J97" s="27">
        <f>IF(G97="","",IFERROR(INDEX(Parámetros!$B$8:$B$20,MATCH(G97,Parámetros!$A$8:$A$20,0)),""))</f>
        <v/>
      </c>
      <c r="K97" s="16" t="n"/>
      <c r="L97" s="16" t="n"/>
      <c r="M97" s="28">
        <f>IF(A97="","",I97*J97-K97+L97)</f>
        <v/>
      </c>
      <c r="N97" s="27">
        <f>IF(A97="","",IFERROR(I97*INDEX(Parámetros!$C$8:$C$20,MATCH(G97,Parámetros!$A$8:$A$20,0)),0))</f>
        <v/>
      </c>
      <c r="O97" s="27">
        <f>IF(A97="","",IFERROR(I97*INDEX(Parámetros!$D$8:$D$20,MATCH(G97,Parámetros!$A$8:$A$20,0)),0))</f>
        <v/>
      </c>
      <c r="P97" s="28">
        <f>IF(A97="","",M97*Parámetros!$B$3+Parámetros!$B$4)</f>
        <v/>
      </c>
      <c r="Q97" s="16" t="n"/>
      <c r="R97" s="28">
        <f>IF(A97="","",M97/1.21-N97-O97-P97-Q97)</f>
        <v/>
      </c>
      <c r="S97" s="29">
        <f>IF(OR(A97="",M97=0),"",R97/(M97/1.21))</f>
        <v/>
      </c>
      <c r="T97" s="25" t="n"/>
      <c r="U97" s="25" t="n"/>
      <c r="V97" s="25" t="n"/>
      <c r="W97" s="25" t="n"/>
      <c r="X97" s="26" t="n"/>
      <c r="Y97" s="26" t="n"/>
      <c r="Z97" s="25" t="n"/>
    </row>
    <row r="98">
      <c r="A98" s="25" t="n"/>
      <c r="B98" s="26" t="n"/>
      <c r="C98" s="25" t="n"/>
      <c r="D98" s="25" t="n"/>
      <c r="E98" s="25" t="n"/>
      <c r="F98" s="25" t="n"/>
      <c r="G98" s="25" t="n"/>
      <c r="H98" s="25" t="n"/>
      <c r="I98" s="25" t="n"/>
      <c r="J98" s="27">
        <f>IF(G98="","",IFERROR(INDEX(Parámetros!$B$8:$B$20,MATCH(G98,Parámetros!$A$8:$A$20,0)),""))</f>
        <v/>
      </c>
      <c r="K98" s="16" t="n"/>
      <c r="L98" s="16" t="n"/>
      <c r="M98" s="28">
        <f>IF(A98="","",I98*J98-K98+L98)</f>
        <v/>
      </c>
      <c r="N98" s="27">
        <f>IF(A98="","",IFERROR(I98*INDEX(Parámetros!$C$8:$C$20,MATCH(G98,Parámetros!$A$8:$A$20,0)),0))</f>
        <v/>
      </c>
      <c r="O98" s="27">
        <f>IF(A98="","",IFERROR(I98*INDEX(Parámetros!$D$8:$D$20,MATCH(G98,Parámetros!$A$8:$A$20,0)),0))</f>
        <v/>
      </c>
      <c r="P98" s="28">
        <f>IF(A98="","",M98*Parámetros!$B$3+Parámetros!$B$4)</f>
        <v/>
      </c>
      <c r="Q98" s="16" t="n"/>
      <c r="R98" s="28">
        <f>IF(A98="","",M98/1.21-N98-O98-P98-Q98)</f>
        <v/>
      </c>
      <c r="S98" s="29">
        <f>IF(OR(A98="",M98=0),"",R98/(M98/1.21))</f>
        <v/>
      </c>
      <c r="T98" s="25" t="n"/>
      <c r="U98" s="25" t="n"/>
      <c r="V98" s="25" t="n"/>
      <c r="W98" s="25" t="n"/>
      <c r="X98" s="26" t="n"/>
      <c r="Y98" s="26" t="n"/>
      <c r="Z98" s="25" t="n"/>
    </row>
    <row r="99">
      <c r="A99" s="25" t="n"/>
      <c r="B99" s="26" t="n"/>
      <c r="C99" s="25" t="n"/>
      <c r="D99" s="25" t="n"/>
      <c r="E99" s="25" t="n"/>
      <c r="F99" s="25" t="n"/>
      <c r="G99" s="25" t="n"/>
      <c r="H99" s="25" t="n"/>
      <c r="I99" s="25" t="n"/>
      <c r="J99" s="27">
        <f>IF(G99="","",IFERROR(INDEX(Parámetros!$B$8:$B$20,MATCH(G99,Parámetros!$A$8:$A$20,0)),""))</f>
        <v/>
      </c>
      <c r="K99" s="16" t="n"/>
      <c r="L99" s="16" t="n"/>
      <c r="M99" s="28">
        <f>IF(A99="","",I99*J99-K99+L99)</f>
        <v/>
      </c>
      <c r="N99" s="27">
        <f>IF(A99="","",IFERROR(I99*INDEX(Parámetros!$C$8:$C$20,MATCH(G99,Parámetros!$A$8:$A$20,0)),0))</f>
        <v/>
      </c>
      <c r="O99" s="27">
        <f>IF(A99="","",IFERROR(I99*INDEX(Parámetros!$D$8:$D$20,MATCH(G99,Parámetros!$A$8:$A$20,0)),0))</f>
        <v/>
      </c>
      <c r="P99" s="28">
        <f>IF(A99="","",M99*Parámetros!$B$3+Parámetros!$B$4)</f>
        <v/>
      </c>
      <c r="Q99" s="16" t="n"/>
      <c r="R99" s="28">
        <f>IF(A99="","",M99/1.21-N99-O99-P99-Q99)</f>
        <v/>
      </c>
      <c r="S99" s="29">
        <f>IF(OR(A99="",M99=0),"",R99/(M99/1.21))</f>
        <v/>
      </c>
      <c r="T99" s="25" t="n"/>
      <c r="U99" s="25" t="n"/>
      <c r="V99" s="25" t="n"/>
      <c r="W99" s="25" t="n"/>
      <c r="X99" s="26" t="n"/>
      <c r="Y99" s="26" t="n"/>
      <c r="Z99" s="25" t="n"/>
    </row>
    <row r="100">
      <c r="A100" s="25" t="n"/>
      <c r="B100" s="26" t="n"/>
      <c r="C100" s="25" t="n"/>
      <c r="D100" s="25" t="n"/>
      <c r="E100" s="25" t="n"/>
      <c r="F100" s="25" t="n"/>
      <c r="G100" s="25" t="n"/>
      <c r="H100" s="25" t="n"/>
      <c r="I100" s="25" t="n"/>
      <c r="J100" s="27">
        <f>IF(G100="","",IFERROR(INDEX(Parámetros!$B$8:$B$20,MATCH(G100,Parámetros!$A$8:$A$20,0)),""))</f>
        <v/>
      </c>
      <c r="K100" s="16" t="n"/>
      <c r="L100" s="16" t="n"/>
      <c r="M100" s="28">
        <f>IF(A100="","",I100*J100-K100+L100)</f>
        <v/>
      </c>
      <c r="N100" s="27">
        <f>IF(A100="","",IFERROR(I100*INDEX(Parámetros!$C$8:$C$20,MATCH(G100,Parámetros!$A$8:$A$20,0)),0))</f>
        <v/>
      </c>
      <c r="O100" s="27">
        <f>IF(A100="","",IFERROR(I100*INDEX(Parámetros!$D$8:$D$20,MATCH(G100,Parámetros!$A$8:$A$20,0)),0))</f>
        <v/>
      </c>
      <c r="P100" s="28">
        <f>IF(A100="","",M100*Parámetros!$B$3+Parámetros!$B$4)</f>
        <v/>
      </c>
      <c r="Q100" s="16" t="n"/>
      <c r="R100" s="28">
        <f>IF(A100="","",M100/1.21-N100-O100-P100-Q100)</f>
        <v/>
      </c>
      <c r="S100" s="29">
        <f>IF(OR(A100="",M100=0),"",R100/(M100/1.21))</f>
        <v/>
      </c>
      <c r="T100" s="25" t="n"/>
      <c r="U100" s="25" t="n"/>
      <c r="V100" s="25" t="n"/>
      <c r="W100" s="25" t="n"/>
      <c r="X100" s="26" t="n"/>
      <c r="Y100" s="26" t="n"/>
      <c r="Z100" s="25" t="n"/>
    </row>
    <row r="101">
      <c r="A101" s="25" t="n"/>
      <c r="B101" s="26" t="n"/>
      <c r="C101" s="25" t="n"/>
      <c r="D101" s="25" t="n"/>
      <c r="E101" s="25" t="n"/>
      <c r="F101" s="25" t="n"/>
      <c r="G101" s="25" t="n"/>
      <c r="H101" s="25" t="n"/>
      <c r="I101" s="25" t="n"/>
      <c r="J101" s="27">
        <f>IF(G101="","",IFERROR(INDEX(Parámetros!$B$8:$B$20,MATCH(G101,Parámetros!$A$8:$A$20,0)),""))</f>
        <v/>
      </c>
      <c r="K101" s="16" t="n"/>
      <c r="L101" s="16" t="n"/>
      <c r="M101" s="28">
        <f>IF(A101="","",I101*J101-K101+L101)</f>
        <v/>
      </c>
      <c r="N101" s="27">
        <f>IF(A101="","",IFERROR(I101*INDEX(Parámetros!$C$8:$C$20,MATCH(G101,Parámetros!$A$8:$A$20,0)),0))</f>
        <v/>
      </c>
      <c r="O101" s="27">
        <f>IF(A101="","",IFERROR(I101*INDEX(Parámetros!$D$8:$D$20,MATCH(G101,Parámetros!$A$8:$A$20,0)),0))</f>
        <v/>
      </c>
      <c r="P101" s="28">
        <f>IF(A101="","",M101*Parámetros!$B$3+Parámetros!$B$4)</f>
        <v/>
      </c>
      <c r="Q101" s="16" t="n"/>
      <c r="R101" s="28">
        <f>IF(A101="","",M101/1.21-N101-O101-P101-Q101)</f>
        <v/>
      </c>
      <c r="S101" s="29">
        <f>IF(OR(A101="",M101=0),"",R101/(M101/1.21))</f>
        <v/>
      </c>
      <c r="T101" s="25" t="n"/>
      <c r="U101" s="25" t="n"/>
      <c r="V101" s="25" t="n"/>
      <c r="W101" s="25" t="n"/>
      <c r="X101" s="26" t="n"/>
      <c r="Y101" s="26" t="n"/>
      <c r="Z101" s="25" t="n"/>
    </row>
    <row r="102">
      <c r="A102" s="25" t="n"/>
      <c r="B102" s="26" t="n"/>
      <c r="C102" s="25" t="n"/>
      <c r="D102" s="25" t="n"/>
      <c r="E102" s="25" t="n"/>
      <c r="F102" s="25" t="n"/>
      <c r="G102" s="25" t="n"/>
      <c r="H102" s="25" t="n"/>
      <c r="I102" s="25" t="n"/>
      <c r="J102" s="27">
        <f>IF(G102="","",IFERROR(INDEX(Parámetros!$B$8:$B$20,MATCH(G102,Parámetros!$A$8:$A$20,0)),""))</f>
        <v/>
      </c>
      <c r="K102" s="16" t="n"/>
      <c r="L102" s="16" t="n"/>
      <c r="M102" s="28">
        <f>IF(A102="","",I102*J102-K102+L102)</f>
        <v/>
      </c>
      <c r="N102" s="27">
        <f>IF(A102="","",IFERROR(I102*INDEX(Parámetros!$C$8:$C$20,MATCH(G102,Parámetros!$A$8:$A$20,0)),0))</f>
        <v/>
      </c>
      <c r="O102" s="27">
        <f>IF(A102="","",IFERROR(I102*INDEX(Parámetros!$D$8:$D$20,MATCH(G102,Parámetros!$A$8:$A$20,0)),0))</f>
        <v/>
      </c>
      <c r="P102" s="28">
        <f>IF(A102="","",M102*Parámetros!$B$3+Parámetros!$B$4)</f>
        <v/>
      </c>
      <c r="Q102" s="16" t="n"/>
      <c r="R102" s="28">
        <f>IF(A102="","",M102/1.21-N102-O102-P102-Q102)</f>
        <v/>
      </c>
      <c r="S102" s="29">
        <f>IF(OR(A102="",M102=0),"",R102/(M102/1.21))</f>
        <v/>
      </c>
      <c r="T102" s="25" t="n"/>
      <c r="U102" s="25" t="n"/>
      <c r="V102" s="25" t="n"/>
      <c r="W102" s="25" t="n"/>
      <c r="X102" s="26" t="n"/>
      <c r="Y102" s="26" t="n"/>
      <c r="Z102" s="25" t="n"/>
    </row>
    <row r="103">
      <c r="A103" s="25" t="n"/>
      <c r="B103" s="26" t="n"/>
      <c r="C103" s="25" t="n"/>
      <c r="D103" s="25" t="n"/>
      <c r="E103" s="25" t="n"/>
      <c r="F103" s="25" t="n"/>
      <c r="G103" s="25" t="n"/>
      <c r="H103" s="25" t="n"/>
      <c r="I103" s="25" t="n"/>
      <c r="J103" s="27">
        <f>IF(G103="","",IFERROR(INDEX(Parámetros!$B$8:$B$20,MATCH(G103,Parámetros!$A$8:$A$20,0)),""))</f>
        <v/>
      </c>
      <c r="K103" s="16" t="n"/>
      <c r="L103" s="16" t="n"/>
      <c r="M103" s="28">
        <f>IF(A103="","",I103*J103-K103+L103)</f>
        <v/>
      </c>
      <c r="N103" s="27">
        <f>IF(A103="","",IFERROR(I103*INDEX(Parámetros!$C$8:$C$20,MATCH(G103,Parámetros!$A$8:$A$20,0)),0))</f>
        <v/>
      </c>
      <c r="O103" s="27">
        <f>IF(A103="","",IFERROR(I103*INDEX(Parámetros!$D$8:$D$20,MATCH(G103,Parámetros!$A$8:$A$20,0)),0))</f>
        <v/>
      </c>
      <c r="P103" s="28">
        <f>IF(A103="","",M103*Parámetros!$B$3+Parámetros!$B$4)</f>
        <v/>
      </c>
      <c r="Q103" s="16" t="n"/>
      <c r="R103" s="28">
        <f>IF(A103="","",M103/1.21-N103-O103-P103-Q103)</f>
        <v/>
      </c>
      <c r="S103" s="29">
        <f>IF(OR(A103="",M103=0),"",R103/(M103/1.21))</f>
        <v/>
      </c>
      <c r="T103" s="25" t="n"/>
      <c r="U103" s="25" t="n"/>
      <c r="V103" s="25" t="n"/>
      <c r="W103" s="25" t="n"/>
      <c r="X103" s="26" t="n"/>
      <c r="Y103" s="26" t="n"/>
      <c r="Z103" s="25" t="n"/>
    </row>
    <row r="104">
      <c r="A104" s="25" t="n"/>
      <c r="B104" s="26" t="n"/>
      <c r="C104" s="25" t="n"/>
      <c r="D104" s="25" t="n"/>
      <c r="E104" s="25" t="n"/>
      <c r="F104" s="25" t="n"/>
      <c r="G104" s="25" t="n"/>
      <c r="H104" s="25" t="n"/>
      <c r="I104" s="25" t="n"/>
      <c r="J104" s="27">
        <f>IF(G104="","",IFERROR(INDEX(Parámetros!$B$8:$B$20,MATCH(G104,Parámetros!$A$8:$A$20,0)),""))</f>
        <v/>
      </c>
      <c r="K104" s="16" t="n"/>
      <c r="L104" s="16" t="n"/>
      <c r="M104" s="28">
        <f>IF(A104="","",I104*J104-K104+L104)</f>
        <v/>
      </c>
      <c r="N104" s="27">
        <f>IF(A104="","",IFERROR(I104*INDEX(Parámetros!$C$8:$C$20,MATCH(G104,Parámetros!$A$8:$A$20,0)),0))</f>
        <v/>
      </c>
      <c r="O104" s="27">
        <f>IF(A104="","",IFERROR(I104*INDEX(Parámetros!$D$8:$D$20,MATCH(G104,Parámetros!$A$8:$A$20,0)),0))</f>
        <v/>
      </c>
      <c r="P104" s="28">
        <f>IF(A104="","",M104*Parámetros!$B$3+Parámetros!$B$4)</f>
        <v/>
      </c>
      <c r="Q104" s="16" t="n"/>
      <c r="R104" s="28">
        <f>IF(A104="","",M104/1.21-N104-O104-P104-Q104)</f>
        <v/>
      </c>
      <c r="S104" s="29">
        <f>IF(OR(A104="",M104=0),"",R104/(M104/1.21))</f>
        <v/>
      </c>
      <c r="T104" s="25" t="n"/>
      <c r="U104" s="25" t="n"/>
      <c r="V104" s="25" t="n"/>
      <c r="W104" s="25" t="n"/>
      <c r="X104" s="26" t="n"/>
      <c r="Y104" s="26" t="n"/>
      <c r="Z104" s="25" t="n"/>
    </row>
    <row r="105">
      <c r="A105" s="25" t="n"/>
      <c r="B105" s="26" t="n"/>
      <c r="C105" s="25" t="n"/>
      <c r="D105" s="25" t="n"/>
      <c r="E105" s="25" t="n"/>
      <c r="F105" s="25" t="n"/>
      <c r="G105" s="25" t="n"/>
      <c r="H105" s="25" t="n"/>
      <c r="I105" s="25" t="n"/>
      <c r="J105" s="27">
        <f>IF(G105="","",IFERROR(INDEX(Parámetros!$B$8:$B$20,MATCH(G105,Parámetros!$A$8:$A$20,0)),""))</f>
        <v/>
      </c>
      <c r="K105" s="16" t="n"/>
      <c r="L105" s="16" t="n"/>
      <c r="M105" s="28">
        <f>IF(A105="","",I105*J105-K105+L105)</f>
        <v/>
      </c>
      <c r="N105" s="27">
        <f>IF(A105="","",IFERROR(I105*INDEX(Parámetros!$C$8:$C$20,MATCH(G105,Parámetros!$A$8:$A$20,0)),0))</f>
        <v/>
      </c>
      <c r="O105" s="27">
        <f>IF(A105="","",IFERROR(I105*INDEX(Parámetros!$D$8:$D$20,MATCH(G105,Parámetros!$A$8:$A$20,0)),0))</f>
        <v/>
      </c>
      <c r="P105" s="28">
        <f>IF(A105="","",M105*Parámetros!$B$3+Parámetros!$B$4)</f>
        <v/>
      </c>
      <c r="Q105" s="16" t="n"/>
      <c r="R105" s="28">
        <f>IF(A105="","",M105/1.21-N105-O105-P105-Q105)</f>
        <v/>
      </c>
      <c r="S105" s="29">
        <f>IF(OR(A105="",M105=0),"",R105/(M105/1.21))</f>
        <v/>
      </c>
      <c r="T105" s="25" t="n"/>
      <c r="U105" s="25" t="n"/>
      <c r="V105" s="25" t="n"/>
      <c r="W105" s="25" t="n"/>
      <c r="X105" s="26" t="n"/>
      <c r="Y105" s="26" t="n"/>
      <c r="Z105" s="25" t="n"/>
    </row>
    <row r="106">
      <c r="A106" s="25" t="n"/>
      <c r="B106" s="26" t="n"/>
      <c r="C106" s="25" t="n"/>
      <c r="D106" s="25" t="n"/>
      <c r="E106" s="25" t="n"/>
      <c r="F106" s="25" t="n"/>
      <c r="G106" s="25" t="n"/>
      <c r="H106" s="25" t="n"/>
      <c r="I106" s="25" t="n"/>
      <c r="J106" s="27">
        <f>IF(G106="","",IFERROR(INDEX(Parámetros!$B$8:$B$20,MATCH(G106,Parámetros!$A$8:$A$20,0)),""))</f>
        <v/>
      </c>
      <c r="K106" s="16" t="n"/>
      <c r="L106" s="16" t="n"/>
      <c r="M106" s="28">
        <f>IF(A106="","",I106*J106-K106+L106)</f>
        <v/>
      </c>
      <c r="N106" s="27">
        <f>IF(A106="","",IFERROR(I106*INDEX(Parámetros!$C$8:$C$20,MATCH(G106,Parámetros!$A$8:$A$20,0)),0))</f>
        <v/>
      </c>
      <c r="O106" s="27">
        <f>IF(A106="","",IFERROR(I106*INDEX(Parámetros!$D$8:$D$20,MATCH(G106,Parámetros!$A$8:$A$20,0)),0))</f>
        <v/>
      </c>
      <c r="P106" s="28">
        <f>IF(A106="","",M106*Parámetros!$B$3+Parámetros!$B$4)</f>
        <v/>
      </c>
      <c r="Q106" s="16" t="n"/>
      <c r="R106" s="28">
        <f>IF(A106="","",M106/1.21-N106-O106-P106-Q106)</f>
        <v/>
      </c>
      <c r="S106" s="29">
        <f>IF(OR(A106="",M106=0),"",R106/(M106/1.21))</f>
        <v/>
      </c>
      <c r="T106" s="25" t="n"/>
      <c r="U106" s="25" t="n"/>
      <c r="V106" s="25" t="n"/>
      <c r="W106" s="25" t="n"/>
      <c r="X106" s="26" t="n"/>
      <c r="Y106" s="26" t="n"/>
      <c r="Z106" s="25" t="n"/>
    </row>
    <row r="107">
      <c r="A107" s="25" t="n"/>
      <c r="B107" s="26" t="n"/>
      <c r="C107" s="25" t="n"/>
      <c r="D107" s="25" t="n"/>
      <c r="E107" s="25" t="n"/>
      <c r="F107" s="25" t="n"/>
      <c r="G107" s="25" t="n"/>
      <c r="H107" s="25" t="n"/>
      <c r="I107" s="25" t="n"/>
      <c r="J107" s="27">
        <f>IF(G107="","",IFERROR(INDEX(Parámetros!$B$8:$B$20,MATCH(G107,Parámetros!$A$8:$A$20,0)),""))</f>
        <v/>
      </c>
      <c r="K107" s="16" t="n"/>
      <c r="L107" s="16" t="n"/>
      <c r="M107" s="28">
        <f>IF(A107="","",I107*J107-K107+L107)</f>
        <v/>
      </c>
      <c r="N107" s="27">
        <f>IF(A107="","",IFERROR(I107*INDEX(Parámetros!$C$8:$C$20,MATCH(G107,Parámetros!$A$8:$A$20,0)),0))</f>
        <v/>
      </c>
      <c r="O107" s="27">
        <f>IF(A107="","",IFERROR(I107*INDEX(Parámetros!$D$8:$D$20,MATCH(G107,Parámetros!$A$8:$A$20,0)),0))</f>
        <v/>
      </c>
      <c r="P107" s="28">
        <f>IF(A107="","",M107*Parámetros!$B$3+Parámetros!$B$4)</f>
        <v/>
      </c>
      <c r="Q107" s="16" t="n"/>
      <c r="R107" s="28">
        <f>IF(A107="","",M107/1.21-N107-O107-P107-Q107)</f>
        <v/>
      </c>
      <c r="S107" s="29">
        <f>IF(OR(A107="",M107=0),"",R107/(M107/1.21))</f>
        <v/>
      </c>
      <c r="T107" s="25" t="n"/>
      <c r="U107" s="25" t="n"/>
      <c r="V107" s="25" t="n"/>
      <c r="W107" s="25" t="n"/>
      <c r="X107" s="26" t="n"/>
      <c r="Y107" s="26" t="n"/>
      <c r="Z107" s="25" t="n"/>
    </row>
    <row r="108">
      <c r="A108" s="25" t="n"/>
      <c r="B108" s="26" t="n"/>
      <c r="C108" s="25" t="n"/>
      <c r="D108" s="25" t="n"/>
      <c r="E108" s="25" t="n"/>
      <c r="F108" s="25" t="n"/>
      <c r="G108" s="25" t="n"/>
      <c r="H108" s="25" t="n"/>
      <c r="I108" s="25" t="n"/>
      <c r="J108" s="27">
        <f>IF(G108="","",IFERROR(INDEX(Parámetros!$B$8:$B$20,MATCH(G108,Parámetros!$A$8:$A$20,0)),""))</f>
        <v/>
      </c>
      <c r="K108" s="16" t="n"/>
      <c r="L108" s="16" t="n"/>
      <c r="M108" s="28">
        <f>IF(A108="","",I108*J108-K108+L108)</f>
        <v/>
      </c>
      <c r="N108" s="27">
        <f>IF(A108="","",IFERROR(I108*INDEX(Parámetros!$C$8:$C$20,MATCH(G108,Parámetros!$A$8:$A$20,0)),0))</f>
        <v/>
      </c>
      <c r="O108" s="27">
        <f>IF(A108="","",IFERROR(I108*INDEX(Parámetros!$D$8:$D$20,MATCH(G108,Parámetros!$A$8:$A$20,0)),0))</f>
        <v/>
      </c>
      <c r="P108" s="28">
        <f>IF(A108="","",M108*Parámetros!$B$3+Parámetros!$B$4)</f>
        <v/>
      </c>
      <c r="Q108" s="16" t="n"/>
      <c r="R108" s="28">
        <f>IF(A108="","",M108/1.21-N108-O108-P108-Q108)</f>
        <v/>
      </c>
      <c r="S108" s="29">
        <f>IF(OR(A108="",M108=0),"",R108/(M108/1.21))</f>
        <v/>
      </c>
      <c r="T108" s="25" t="n"/>
      <c r="U108" s="25" t="n"/>
      <c r="V108" s="25" t="n"/>
      <c r="W108" s="25" t="n"/>
      <c r="X108" s="26" t="n"/>
      <c r="Y108" s="26" t="n"/>
      <c r="Z108" s="25" t="n"/>
    </row>
    <row r="109">
      <c r="A109" s="25" t="n"/>
      <c r="B109" s="26" t="n"/>
      <c r="C109" s="25" t="n"/>
      <c r="D109" s="25" t="n"/>
      <c r="E109" s="25" t="n"/>
      <c r="F109" s="25" t="n"/>
      <c r="G109" s="25" t="n"/>
      <c r="H109" s="25" t="n"/>
      <c r="I109" s="25" t="n"/>
      <c r="J109" s="27">
        <f>IF(G109="","",IFERROR(INDEX(Parámetros!$B$8:$B$20,MATCH(G109,Parámetros!$A$8:$A$20,0)),""))</f>
        <v/>
      </c>
      <c r="K109" s="16" t="n"/>
      <c r="L109" s="16" t="n"/>
      <c r="M109" s="28">
        <f>IF(A109="","",I109*J109-K109+L109)</f>
        <v/>
      </c>
      <c r="N109" s="27">
        <f>IF(A109="","",IFERROR(I109*INDEX(Parámetros!$C$8:$C$20,MATCH(G109,Parámetros!$A$8:$A$20,0)),0))</f>
        <v/>
      </c>
      <c r="O109" s="27">
        <f>IF(A109="","",IFERROR(I109*INDEX(Parámetros!$D$8:$D$20,MATCH(G109,Parámetros!$A$8:$A$20,0)),0))</f>
        <v/>
      </c>
      <c r="P109" s="28">
        <f>IF(A109="","",M109*Parámetros!$B$3+Parámetros!$B$4)</f>
        <v/>
      </c>
      <c r="Q109" s="16" t="n"/>
      <c r="R109" s="28">
        <f>IF(A109="","",M109/1.21-N109-O109-P109-Q109)</f>
        <v/>
      </c>
      <c r="S109" s="29">
        <f>IF(OR(A109="",M109=0),"",R109/(M109/1.21))</f>
        <v/>
      </c>
      <c r="T109" s="25" t="n"/>
      <c r="U109" s="25" t="n"/>
      <c r="V109" s="25" t="n"/>
      <c r="W109" s="25" t="n"/>
      <c r="X109" s="26" t="n"/>
      <c r="Y109" s="26" t="n"/>
      <c r="Z109" s="25" t="n"/>
    </row>
    <row r="110">
      <c r="A110" s="25" t="n"/>
      <c r="B110" s="26" t="n"/>
      <c r="C110" s="25" t="n"/>
      <c r="D110" s="25" t="n"/>
      <c r="E110" s="25" t="n"/>
      <c r="F110" s="25" t="n"/>
      <c r="G110" s="25" t="n"/>
      <c r="H110" s="25" t="n"/>
      <c r="I110" s="25" t="n"/>
      <c r="J110" s="27">
        <f>IF(G110="","",IFERROR(INDEX(Parámetros!$B$8:$B$20,MATCH(G110,Parámetros!$A$8:$A$20,0)),""))</f>
        <v/>
      </c>
      <c r="K110" s="16" t="n"/>
      <c r="L110" s="16" t="n"/>
      <c r="M110" s="28">
        <f>IF(A110="","",I110*J110-K110+L110)</f>
        <v/>
      </c>
      <c r="N110" s="27">
        <f>IF(A110="","",IFERROR(I110*INDEX(Parámetros!$C$8:$C$20,MATCH(G110,Parámetros!$A$8:$A$20,0)),0))</f>
        <v/>
      </c>
      <c r="O110" s="27">
        <f>IF(A110="","",IFERROR(I110*INDEX(Parámetros!$D$8:$D$20,MATCH(G110,Parámetros!$A$8:$A$20,0)),0))</f>
        <v/>
      </c>
      <c r="P110" s="28">
        <f>IF(A110="","",M110*Parámetros!$B$3+Parámetros!$B$4)</f>
        <v/>
      </c>
      <c r="Q110" s="16" t="n"/>
      <c r="R110" s="28">
        <f>IF(A110="","",M110/1.21-N110-O110-P110-Q110)</f>
        <v/>
      </c>
      <c r="S110" s="29">
        <f>IF(OR(A110="",M110=0),"",R110/(M110/1.21))</f>
        <v/>
      </c>
      <c r="T110" s="25" t="n"/>
      <c r="U110" s="25" t="n"/>
      <c r="V110" s="25" t="n"/>
      <c r="W110" s="25" t="n"/>
      <c r="X110" s="26" t="n"/>
      <c r="Y110" s="26" t="n"/>
      <c r="Z110" s="25" t="n"/>
    </row>
    <row r="111">
      <c r="A111" s="25" t="n"/>
      <c r="B111" s="26" t="n"/>
      <c r="C111" s="25" t="n"/>
      <c r="D111" s="25" t="n"/>
      <c r="E111" s="25" t="n"/>
      <c r="F111" s="25" t="n"/>
      <c r="G111" s="25" t="n"/>
      <c r="H111" s="25" t="n"/>
      <c r="I111" s="25" t="n"/>
      <c r="J111" s="27">
        <f>IF(G111="","",IFERROR(INDEX(Parámetros!$B$8:$B$20,MATCH(G111,Parámetros!$A$8:$A$20,0)),""))</f>
        <v/>
      </c>
      <c r="K111" s="16" t="n"/>
      <c r="L111" s="16" t="n"/>
      <c r="M111" s="28">
        <f>IF(A111="","",I111*J111-K111+L111)</f>
        <v/>
      </c>
      <c r="N111" s="27">
        <f>IF(A111="","",IFERROR(I111*INDEX(Parámetros!$C$8:$C$20,MATCH(G111,Parámetros!$A$8:$A$20,0)),0))</f>
        <v/>
      </c>
      <c r="O111" s="27">
        <f>IF(A111="","",IFERROR(I111*INDEX(Parámetros!$D$8:$D$20,MATCH(G111,Parámetros!$A$8:$A$20,0)),0))</f>
        <v/>
      </c>
      <c r="P111" s="28">
        <f>IF(A111="","",M111*Parámetros!$B$3+Parámetros!$B$4)</f>
        <v/>
      </c>
      <c r="Q111" s="16" t="n"/>
      <c r="R111" s="28">
        <f>IF(A111="","",M111/1.21-N111-O111-P111-Q111)</f>
        <v/>
      </c>
      <c r="S111" s="29">
        <f>IF(OR(A111="",M111=0),"",R111/(M111/1.21))</f>
        <v/>
      </c>
      <c r="T111" s="25" t="n"/>
      <c r="U111" s="25" t="n"/>
      <c r="V111" s="25" t="n"/>
      <c r="W111" s="25" t="n"/>
      <c r="X111" s="26" t="n"/>
      <c r="Y111" s="26" t="n"/>
      <c r="Z111" s="25" t="n"/>
    </row>
    <row r="112">
      <c r="A112" s="25" t="n"/>
      <c r="B112" s="26" t="n"/>
      <c r="C112" s="25" t="n"/>
      <c r="D112" s="25" t="n"/>
      <c r="E112" s="25" t="n"/>
      <c r="F112" s="25" t="n"/>
      <c r="G112" s="25" t="n"/>
      <c r="H112" s="25" t="n"/>
      <c r="I112" s="25" t="n"/>
      <c r="J112" s="27">
        <f>IF(G112="","",IFERROR(INDEX(Parámetros!$B$8:$B$20,MATCH(G112,Parámetros!$A$8:$A$20,0)),""))</f>
        <v/>
      </c>
      <c r="K112" s="16" t="n"/>
      <c r="L112" s="16" t="n"/>
      <c r="M112" s="28">
        <f>IF(A112="","",I112*J112-K112+L112)</f>
        <v/>
      </c>
      <c r="N112" s="27">
        <f>IF(A112="","",IFERROR(I112*INDEX(Parámetros!$C$8:$C$20,MATCH(G112,Parámetros!$A$8:$A$20,0)),0))</f>
        <v/>
      </c>
      <c r="O112" s="27">
        <f>IF(A112="","",IFERROR(I112*INDEX(Parámetros!$D$8:$D$20,MATCH(G112,Parámetros!$A$8:$A$20,0)),0))</f>
        <v/>
      </c>
      <c r="P112" s="28">
        <f>IF(A112="","",M112*Parámetros!$B$3+Parámetros!$B$4)</f>
        <v/>
      </c>
      <c r="Q112" s="16" t="n"/>
      <c r="R112" s="28">
        <f>IF(A112="","",M112/1.21-N112-O112-P112-Q112)</f>
        <v/>
      </c>
      <c r="S112" s="29">
        <f>IF(OR(A112="",M112=0),"",R112/(M112/1.21))</f>
        <v/>
      </c>
      <c r="T112" s="25" t="n"/>
      <c r="U112" s="25" t="n"/>
      <c r="V112" s="25" t="n"/>
      <c r="W112" s="25" t="n"/>
      <c r="X112" s="26" t="n"/>
      <c r="Y112" s="26" t="n"/>
      <c r="Z112" s="25" t="n"/>
    </row>
    <row r="113">
      <c r="A113" s="25" t="n"/>
      <c r="B113" s="26" t="n"/>
      <c r="C113" s="25" t="n"/>
      <c r="D113" s="25" t="n"/>
      <c r="E113" s="25" t="n"/>
      <c r="F113" s="25" t="n"/>
      <c r="G113" s="25" t="n"/>
      <c r="H113" s="25" t="n"/>
      <c r="I113" s="25" t="n"/>
      <c r="J113" s="27">
        <f>IF(G113="","",IFERROR(INDEX(Parámetros!$B$8:$B$20,MATCH(G113,Parámetros!$A$8:$A$20,0)),""))</f>
        <v/>
      </c>
      <c r="K113" s="16" t="n"/>
      <c r="L113" s="16" t="n"/>
      <c r="M113" s="28">
        <f>IF(A113="","",I113*J113-K113+L113)</f>
        <v/>
      </c>
      <c r="N113" s="27">
        <f>IF(A113="","",IFERROR(I113*INDEX(Parámetros!$C$8:$C$20,MATCH(G113,Parámetros!$A$8:$A$20,0)),0))</f>
        <v/>
      </c>
      <c r="O113" s="27">
        <f>IF(A113="","",IFERROR(I113*INDEX(Parámetros!$D$8:$D$20,MATCH(G113,Parámetros!$A$8:$A$20,0)),0))</f>
        <v/>
      </c>
      <c r="P113" s="28">
        <f>IF(A113="","",M113*Parámetros!$B$3+Parámetros!$B$4)</f>
        <v/>
      </c>
      <c r="Q113" s="16" t="n"/>
      <c r="R113" s="28">
        <f>IF(A113="","",M113/1.21-N113-O113-P113-Q113)</f>
        <v/>
      </c>
      <c r="S113" s="29">
        <f>IF(OR(A113="",M113=0),"",R113/(M113/1.21))</f>
        <v/>
      </c>
      <c r="T113" s="25" t="n"/>
      <c r="U113" s="25" t="n"/>
      <c r="V113" s="25" t="n"/>
      <c r="W113" s="25" t="n"/>
      <c r="X113" s="26" t="n"/>
      <c r="Y113" s="26" t="n"/>
      <c r="Z113" s="25" t="n"/>
    </row>
    <row r="114">
      <c r="A114" s="25" t="n"/>
      <c r="B114" s="26" t="n"/>
      <c r="C114" s="25" t="n"/>
      <c r="D114" s="25" t="n"/>
      <c r="E114" s="25" t="n"/>
      <c r="F114" s="25" t="n"/>
      <c r="G114" s="25" t="n"/>
      <c r="H114" s="25" t="n"/>
      <c r="I114" s="25" t="n"/>
      <c r="J114" s="27">
        <f>IF(G114="","",IFERROR(INDEX(Parámetros!$B$8:$B$20,MATCH(G114,Parámetros!$A$8:$A$20,0)),""))</f>
        <v/>
      </c>
      <c r="K114" s="16" t="n"/>
      <c r="L114" s="16" t="n"/>
      <c r="M114" s="28">
        <f>IF(A114="","",I114*J114-K114+L114)</f>
        <v/>
      </c>
      <c r="N114" s="27">
        <f>IF(A114="","",IFERROR(I114*INDEX(Parámetros!$C$8:$C$20,MATCH(G114,Parámetros!$A$8:$A$20,0)),0))</f>
        <v/>
      </c>
      <c r="O114" s="27">
        <f>IF(A114="","",IFERROR(I114*INDEX(Parámetros!$D$8:$D$20,MATCH(G114,Parámetros!$A$8:$A$20,0)),0))</f>
        <v/>
      </c>
      <c r="P114" s="28">
        <f>IF(A114="","",M114*Parámetros!$B$3+Parámetros!$B$4)</f>
        <v/>
      </c>
      <c r="Q114" s="16" t="n"/>
      <c r="R114" s="28">
        <f>IF(A114="","",M114/1.21-N114-O114-P114-Q114)</f>
        <v/>
      </c>
      <c r="S114" s="29">
        <f>IF(OR(A114="",M114=0),"",R114/(M114/1.21))</f>
        <v/>
      </c>
      <c r="T114" s="25" t="n"/>
      <c r="U114" s="25" t="n"/>
      <c r="V114" s="25" t="n"/>
      <c r="W114" s="25" t="n"/>
      <c r="X114" s="26" t="n"/>
      <c r="Y114" s="26" t="n"/>
      <c r="Z114" s="25" t="n"/>
    </row>
    <row r="115">
      <c r="A115" s="25" t="n"/>
      <c r="B115" s="26" t="n"/>
      <c r="C115" s="25" t="n"/>
      <c r="D115" s="25" t="n"/>
      <c r="E115" s="25" t="n"/>
      <c r="F115" s="25" t="n"/>
      <c r="G115" s="25" t="n"/>
      <c r="H115" s="25" t="n"/>
      <c r="I115" s="25" t="n"/>
      <c r="J115" s="27">
        <f>IF(G115="","",IFERROR(INDEX(Parámetros!$B$8:$B$20,MATCH(G115,Parámetros!$A$8:$A$20,0)),""))</f>
        <v/>
      </c>
      <c r="K115" s="16" t="n"/>
      <c r="L115" s="16" t="n"/>
      <c r="M115" s="28">
        <f>IF(A115="","",I115*J115-K115+L115)</f>
        <v/>
      </c>
      <c r="N115" s="27">
        <f>IF(A115="","",IFERROR(I115*INDEX(Parámetros!$C$8:$C$20,MATCH(G115,Parámetros!$A$8:$A$20,0)),0))</f>
        <v/>
      </c>
      <c r="O115" s="27">
        <f>IF(A115="","",IFERROR(I115*INDEX(Parámetros!$D$8:$D$20,MATCH(G115,Parámetros!$A$8:$A$20,0)),0))</f>
        <v/>
      </c>
      <c r="P115" s="28">
        <f>IF(A115="","",M115*Parámetros!$B$3+Parámetros!$B$4)</f>
        <v/>
      </c>
      <c r="Q115" s="16" t="n"/>
      <c r="R115" s="28">
        <f>IF(A115="","",M115/1.21-N115-O115-P115-Q115)</f>
        <v/>
      </c>
      <c r="S115" s="29">
        <f>IF(OR(A115="",M115=0),"",R115/(M115/1.21))</f>
        <v/>
      </c>
      <c r="T115" s="25" t="n"/>
      <c r="U115" s="25" t="n"/>
      <c r="V115" s="25" t="n"/>
      <c r="W115" s="25" t="n"/>
      <c r="X115" s="26" t="n"/>
      <c r="Y115" s="26" t="n"/>
      <c r="Z115" s="25" t="n"/>
    </row>
    <row r="116">
      <c r="A116" s="25" t="n"/>
      <c r="B116" s="26" t="n"/>
      <c r="C116" s="25" t="n"/>
      <c r="D116" s="25" t="n"/>
      <c r="E116" s="25" t="n"/>
      <c r="F116" s="25" t="n"/>
      <c r="G116" s="25" t="n"/>
      <c r="H116" s="25" t="n"/>
      <c r="I116" s="25" t="n"/>
      <c r="J116" s="27">
        <f>IF(G116="","",IFERROR(INDEX(Parámetros!$B$8:$B$20,MATCH(G116,Parámetros!$A$8:$A$20,0)),""))</f>
        <v/>
      </c>
      <c r="K116" s="16" t="n"/>
      <c r="L116" s="16" t="n"/>
      <c r="M116" s="28">
        <f>IF(A116="","",I116*J116-K116+L116)</f>
        <v/>
      </c>
      <c r="N116" s="27">
        <f>IF(A116="","",IFERROR(I116*INDEX(Parámetros!$C$8:$C$20,MATCH(G116,Parámetros!$A$8:$A$20,0)),0))</f>
        <v/>
      </c>
      <c r="O116" s="27">
        <f>IF(A116="","",IFERROR(I116*INDEX(Parámetros!$D$8:$D$20,MATCH(G116,Parámetros!$A$8:$A$20,0)),0))</f>
        <v/>
      </c>
      <c r="P116" s="28">
        <f>IF(A116="","",M116*Parámetros!$B$3+Parámetros!$B$4)</f>
        <v/>
      </c>
      <c r="Q116" s="16" t="n"/>
      <c r="R116" s="28">
        <f>IF(A116="","",M116/1.21-N116-O116-P116-Q116)</f>
        <v/>
      </c>
      <c r="S116" s="29">
        <f>IF(OR(A116="",M116=0),"",R116/(M116/1.21))</f>
        <v/>
      </c>
      <c r="T116" s="25" t="n"/>
      <c r="U116" s="25" t="n"/>
      <c r="V116" s="25" t="n"/>
      <c r="W116" s="25" t="n"/>
      <c r="X116" s="26" t="n"/>
      <c r="Y116" s="26" t="n"/>
      <c r="Z116" s="25" t="n"/>
    </row>
    <row r="117">
      <c r="A117" s="25" t="n"/>
      <c r="B117" s="26" t="n"/>
      <c r="C117" s="25" t="n"/>
      <c r="D117" s="25" t="n"/>
      <c r="E117" s="25" t="n"/>
      <c r="F117" s="25" t="n"/>
      <c r="G117" s="25" t="n"/>
      <c r="H117" s="25" t="n"/>
      <c r="I117" s="25" t="n"/>
      <c r="J117" s="27">
        <f>IF(G117="","",IFERROR(INDEX(Parámetros!$B$8:$B$20,MATCH(G117,Parámetros!$A$8:$A$20,0)),""))</f>
        <v/>
      </c>
      <c r="K117" s="16" t="n"/>
      <c r="L117" s="16" t="n"/>
      <c r="M117" s="28">
        <f>IF(A117="","",I117*J117-K117+L117)</f>
        <v/>
      </c>
      <c r="N117" s="27">
        <f>IF(A117="","",IFERROR(I117*INDEX(Parámetros!$C$8:$C$20,MATCH(G117,Parámetros!$A$8:$A$20,0)),0))</f>
        <v/>
      </c>
      <c r="O117" s="27">
        <f>IF(A117="","",IFERROR(I117*INDEX(Parámetros!$D$8:$D$20,MATCH(G117,Parámetros!$A$8:$A$20,0)),0))</f>
        <v/>
      </c>
      <c r="P117" s="28">
        <f>IF(A117="","",M117*Parámetros!$B$3+Parámetros!$B$4)</f>
        <v/>
      </c>
      <c r="Q117" s="16" t="n"/>
      <c r="R117" s="28">
        <f>IF(A117="","",M117/1.21-N117-O117-P117-Q117)</f>
        <v/>
      </c>
      <c r="S117" s="29">
        <f>IF(OR(A117="",M117=0),"",R117/(M117/1.21))</f>
        <v/>
      </c>
      <c r="T117" s="25" t="n"/>
      <c r="U117" s="25" t="n"/>
      <c r="V117" s="25" t="n"/>
      <c r="W117" s="25" t="n"/>
      <c r="X117" s="26" t="n"/>
      <c r="Y117" s="26" t="n"/>
      <c r="Z117" s="25" t="n"/>
    </row>
    <row r="118">
      <c r="A118" s="25" t="n"/>
      <c r="B118" s="26" t="n"/>
      <c r="C118" s="25" t="n"/>
      <c r="D118" s="25" t="n"/>
      <c r="E118" s="25" t="n"/>
      <c r="F118" s="25" t="n"/>
      <c r="G118" s="25" t="n"/>
      <c r="H118" s="25" t="n"/>
      <c r="I118" s="25" t="n"/>
      <c r="J118" s="27">
        <f>IF(G118="","",IFERROR(INDEX(Parámetros!$B$8:$B$20,MATCH(G118,Parámetros!$A$8:$A$20,0)),""))</f>
        <v/>
      </c>
      <c r="K118" s="16" t="n"/>
      <c r="L118" s="16" t="n"/>
      <c r="M118" s="28">
        <f>IF(A118="","",I118*J118-K118+L118)</f>
        <v/>
      </c>
      <c r="N118" s="27">
        <f>IF(A118="","",IFERROR(I118*INDEX(Parámetros!$C$8:$C$20,MATCH(G118,Parámetros!$A$8:$A$20,0)),0))</f>
        <v/>
      </c>
      <c r="O118" s="27">
        <f>IF(A118="","",IFERROR(I118*INDEX(Parámetros!$D$8:$D$20,MATCH(G118,Parámetros!$A$8:$A$20,0)),0))</f>
        <v/>
      </c>
      <c r="P118" s="28">
        <f>IF(A118="","",M118*Parámetros!$B$3+Parámetros!$B$4)</f>
        <v/>
      </c>
      <c r="Q118" s="16" t="n"/>
      <c r="R118" s="28">
        <f>IF(A118="","",M118/1.21-N118-O118-P118-Q118)</f>
        <v/>
      </c>
      <c r="S118" s="29">
        <f>IF(OR(A118="",M118=0),"",R118/(M118/1.21))</f>
        <v/>
      </c>
      <c r="T118" s="25" t="n"/>
      <c r="U118" s="25" t="n"/>
      <c r="V118" s="25" t="n"/>
      <c r="W118" s="25" t="n"/>
      <c r="X118" s="26" t="n"/>
      <c r="Y118" s="26" t="n"/>
      <c r="Z118" s="25" t="n"/>
    </row>
    <row r="119">
      <c r="A119" s="25" t="n"/>
      <c r="B119" s="26" t="n"/>
      <c r="C119" s="25" t="n"/>
      <c r="D119" s="25" t="n"/>
      <c r="E119" s="25" t="n"/>
      <c r="F119" s="25" t="n"/>
      <c r="G119" s="25" t="n"/>
      <c r="H119" s="25" t="n"/>
      <c r="I119" s="25" t="n"/>
      <c r="J119" s="27">
        <f>IF(G119="","",IFERROR(INDEX(Parámetros!$B$8:$B$20,MATCH(G119,Parámetros!$A$8:$A$20,0)),""))</f>
        <v/>
      </c>
      <c r="K119" s="16" t="n"/>
      <c r="L119" s="16" t="n"/>
      <c r="M119" s="28">
        <f>IF(A119="","",I119*J119-K119+L119)</f>
        <v/>
      </c>
      <c r="N119" s="27">
        <f>IF(A119="","",IFERROR(I119*INDEX(Parámetros!$C$8:$C$20,MATCH(G119,Parámetros!$A$8:$A$20,0)),0))</f>
        <v/>
      </c>
      <c r="O119" s="27">
        <f>IF(A119="","",IFERROR(I119*INDEX(Parámetros!$D$8:$D$20,MATCH(G119,Parámetros!$A$8:$A$20,0)),0))</f>
        <v/>
      </c>
      <c r="P119" s="28">
        <f>IF(A119="","",M119*Parámetros!$B$3+Parámetros!$B$4)</f>
        <v/>
      </c>
      <c r="Q119" s="16" t="n"/>
      <c r="R119" s="28">
        <f>IF(A119="","",M119/1.21-N119-O119-P119-Q119)</f>
        <v/>
      </c>
      <c r="S119" s="29">
        <f>IF(OR(A119="",M119=0),"",R119/(M119/1.21))</f>
        <v/>
      </c>
      <c r="T119" s="25" t="n"/>
      <c r="U119" s="25" t="n"/>
      <c r="V119" s="25" t="n"/>
      <c r="W119" s="25" t="n"/>
      <c r="X119" s="26" t="n"/>
      <c r="Y119" s="26" t="n"/>
      <c r="Z119" s="25" t="n"/>
    </row>
    <row r="120">
      <c r="A120" s="25" t="n"/>
      <c r="B120" s="26" t="n"/>
      <c r="C120" s="25" t="n"/>
      <c r="D120" s="25" t="n"/>
      <c r="E120" s="25" t="n"/>
      <c r="F120" s="25" t="n"/>
      <c r="G120" s="25" t="n"/>
      <c r="H120" s="25" t="n"/>
      <c r="I120" s="25" t="n"/>
      <c r="J120" s="27">
        <f>IF(G120="","",IFERROR(INDEX(Parámetros!$B$8:$B$20,MATCH(G120,Parámetros!$A$8:$A$20,0)),""))</f>
        <v/>
      </c>
      <c r="K120" s="16" t="n"/>
      <c r="L120" s="16" t="n"/>
      <c r="M120" s="28">
        <f>IF(A120="","",I120*J120-K120+L120)</f>
        <v/>
      </c>
      <c r="N120" s="27">
        <f>IF(A120="","",IFERROR(I120*INDEX(Parámetros!$C$8:$C$20,MATCH(G120,Parámetros!$A$8:$A$20,0)),0))</f>
        <v/>
      </c>
      <c r="O120" s="27">
        <f>IF(A120="","",IFERROR(I120*INDEX(Parámetros!$D$8:$D$20,MATCH(G120,Parámetros!$A$8:$A$20,0)),0))</f>
        <v/>
      </c>
      <c r="P120" s="28">
        <f>IF(A120="","",M120*Parámetros!$B$3+Parámetros!$B$4)</f>
        <v/>
      </c>
      <c r="Q120" s="16" t="n"/>
      <c r="R120" s="28">
        <f>IF(A120="","",M120/1.21-N120-O120-P120-Q120)</f>
        <v/>
      </c>
      <c r="S120" s="29">
        <f>IF(OR(A120="",M120=0),"",R120/(M120/1.21))</f>
        <v/>
      </c>
      <c r="T120" s="25" t="n"/>
      <c r="U120" s="25" t="n"/>
      <c r="V120" s="25" t="n"/>
      <c r="W120" s="25" t="n"/>
      <c r="X120" s="26" t="n"/>
      <c r="Y120" s="26" t="n"/>
      <c r="Z120" s="25" t="n"/>
    </row>
    <row r="121">
      <c r="A121" s="25" t="n"/>
      <c r="B121" s="26" t="n"/>
      <c r="C121" s="25" t="n"/>
      <c r="D121" s="25" t="n"/>
      <c r="E121" s="25" t="n"/>
      <c r="F121" s="25" t="n"/>
      <c r="G121" s="25" t="n"/>
      <c r="H121" s="25" t="n"/>
      <c r="I121" s="25" t="n"/>
      <c r="J121" s="27">
        <f>IF(G121="","",IFERROR(INDEX(Parámetros!$B$8:$B$20,MATCH(G121,Parámetros!$A$8:$A$20,0)),""))</f>
        <v/>
      </c>
      <c r="K121" s="16" t="n"/>
      <c r="L121" s="16" t="n"/>
      <c r="M121" s="28">
        <f>IF(A121="","",I121*J121-K121+L121)</f>
        <v/>
      </c>
      <c r="N121" s="27">
        <f>IF(A121="","",IFERROR(I121*INDEX(Parámetros!$C$8:$C$20,MATCH(G121,Parámetros!$A$8:$A$20,0)),0))</f>
        <v/>
      </c>
      <c r="O121" s="27">
        <f>IF(A121="","",IFERROR(I121*INDEX(Parámetros!$D$8:$D$20,MATCH(G121,Parámetros!$A$8:$A$20,0)),0))</f>
        <v/>
      </c>
      <c r="P121" s="28">
        <f>IF(A121="","",M121*Parámetros!$B$3+Parámetros!$B$4)</f>
        <v/>
      </c>
      <c r="Q121" s="16" t="n"/>
      <c r="R121" s="28">
        <f>IF(A121="","",M121/1.21-N121-O121-P121-Q121)</f>
        <v/>
      </c>
      <c r="S121" s="29">
        <f>IF(OR(A121="",M121=0),"",R121/(M121/1.21))</f>
        <v/>
      </c>
      <c r="T121" s="25" t="n"/>
      <c r="U121" s="25" t="n"/>
      <c r="V121" s="25" t="n"/>
      <c r="W121" s="25" t="n"/>
      <c r="X121" s="26" t="n"/>
      <c r="Y121" s="26" t="n"/>
      <c r="Z121" s="25" t="n"/>
    </row>
    <row r="122">
      <c r="A122" s="25" t="n"/>
      <c r="B122" s="26" t="n"/>
      <c r="C122" s="25" t="n"/>
      <c r="D122" s="25" t="n"/>
      <c r="E122" s="25" t="n"/>
      <c r="F122" s="25" t="n"/>
      <c r="G122" s="25" t="n"/>
      <c r="H122" s="25" t="n"/>
      <c r="I122" s="25" t="n"/>
      <c r="J122" s="27">
        <f>IF(G122="","",IFERROR(INDEX(Parámetros!$B$8:$B$20,MATCH(G122,Parámetros!$A$8:$A$20,0)),""))</f>
        <v/>
      </c>
      <c r="K122" s="16" t="n"/>
      <c r="L122" s="16" t="n"/>
      <c r="M122" s="28">
        <f>IF(A122="","",I122*J122-K122+L122)</f>
        <v/>
      </c>
      <c r="N122" s="27">
        <f>IF(A122="","",IFERROR(I122*INDEX(Parámetros!$C$8:$C$20,MATCH(G122,Parámetros!$A$8:$A$20,0)),0))</f>
        <v/>
      </c>
      <c r="O122" s="27">
        <f>IF(A122="","",IFERROR(I122*INDEX(Parámetros!$D$8:$D$20,MATCH(G122,Parámetros!$A$8:$A$20,0)),0))</f>
        <v/>
      </c>
      <c r="P122" s="28">
        <f>IF(A122="","",M122*Parámetros!$B$3+Parámetros!$B$4)</f>
        <v/>
      </c>
      <c r="Q122" s="16" t="n"/>
      <c r="R122" s="28">
        <f>IF(A122="","",M122/1.21-N122-O122-P122-Q122)</f>
        <v/>
      </c>
      <c r="S122" s="29">
        <f>IF(OR(A122="",M122=0),"",R122/(M122/1.21))</f>
        <v/>
      </c>
      <c r="T122" s="25" t="n"/>
      <c r="U122" s="25" t="n"/>
      <c r="V122" s="25" t="n"/>
      <c r="W122" s="25" t="n"/>
      <c r="X122" s="26" t="n"/>
      <c r="Y122" s="26" t="n"/>
      <c r="Z122" s="25" t="n"/>
    </row>
    <row r="123">
      <c r="A123" s="25" t="n"/>
      <c r="B123" s="26" t="n"/>
      <c r="C123" s="25" t="n"/>
      <c r="D123" s="25" t="n"/>
      <c r="E123" s="25" t="n"/>
      <c r="F123" s="25" t="n"/>
      <c r="G123" s="25" t="n"/>
      <c r="H123" s="25" t="n"/>
      <c r="I123" s="25" t="n"/>
      <c r="J123" s="27">
        <f>IF(G123="","",IFERROR(INDEX(Parámetros!$B$8:$B$20,MATCH(G123,Parámetros!$A$8:$A$20,0)),""))</f>
        <v/>
      </c>
      <c r="K123" s="16" t="n"/>
      <c r="L123" s="16" t="n"/>
      <c r="M123" s="28">
        <f>IF(A123="","",I123*J123-K123+L123)</f>
        <v/>
      </c>
      <c r="N123" s="27">
        <f>IF(A123="","",IFERROR(I123*INDEX(Parámetros!$C$8:$C$20,MATCH(G123,Parámetros!$A$8:$A$20,0)),0))</f>
        <v/>
      </c>
      <c r="O123" s="27">
        <f>IF(A123="","",IFERROR(I123*INDEX(Parámetros!$D$8:$D$20,MATCH(G123,Parámetros!$A$8:$A$20,0)),0))</f>
        <v/>
      </c>
      <c r="P123" s="28">
        <f>IF(A123="","",M123*Parámetros!$B$3+Parámetros!$B$4)</f>
        <v/>
      </c>
      <c r="Q123" s="16" t="n"/>
      <c r="R123" s="28">
        <f>IF(A123="","",M123/1.21-N123-O123-P123-Q123)</f>
        <v/>
      </c>
      <c r="S123" s="29">
        <f>IF(OR(A123="",M123=0),"",R123/(M123/1.21))</f>
        <v/>
      </c>
      <c r="T123" s="25" t="n"/>
      <c r="U123" s="25" t="n"/>
      <c r="V123" s="25" t="n"/>
      <c r="W123" s="25" t="n"/>
      <c r="X123" s="26" t="n"/>
      <c r="Y123" s="26" t="n"/>
      <c r="Z123" s="25" t="n"/>
    </row>
    <row r="124">
      <c r="A124" s="25" t="n"/>
      <c r="B124" s="26" t="n"/>
      <c r="C124" s="25" t="n"/>
      <c r="D124" s="25" t="n"/>
      <c r="E124" s="25" t="n"/>
      <c r="F124" s="25" t="n"/>
      <c r="G124" s="25" t="n"/>
      <c r="H124" s="25" t="n"/>
      <c r="I124" s="25" t="n"/>
      <c r="J124" s="27">
        <f>IF(G124="","",IFERROR(INDEX(Parámetros!$B$8:$B$20,MATCH(G124,Parámetros!$A$8:$A$20,0)),""))</f>
        <v/>
      </c>
      <c r="K124" s="16" t="n"/>
      <c r="L124" s="16" t="n"/>
      <c r="M124" s="28">
        <f>IF(A124="","",I124*J124-K124+L124)</f>
        <v/>
      </c>
      <c r="N124" s="27">
        <f>IF(A124="","",IFERROR(I124*INDEX(Parámetros!$C$8:$C$20,MATCH(G124,Parámetros!$A$8:$A$20,0)),0))</f>
        <v/>
      </c>
      <c r="O124" s="27">
        <f>IF(A124="","",IFERROR(I124*INDEX(Parámetros!$D$8:$D$20,MATCH(G124,Parámetros!$A$8:$A$20,0)),0))</f>
        <v/>
      </c>
      <c r="P124" s="28">
        <f>IF(A124="","",M124*Parámetros!$B$3+Parámetros!$B$4)</f>
        <v/>
      </c>
      <c r="Q124" s="16" t="n"/>
      <c r="R124" s="28">
        <f>IF(A124="","",M124/1.21-N124-O124-P124-Q124)</f>
        <v/>
      </c>
      <c r="S124" s="29">
        <f>IF(OR(A124="",M124=0),"",R124/(M124/1.21))</f>
        <v/>
      </c>
      <c r="T124" s="25" t="n"/>
      <c r="U124" s="25" t="n"/>
      <c r="V124" s="25" t="n"/>
      <c r="W124" s="25" t="n"/>
      <c r="X124" s="26" t="n"/>
      <c r="Y124" s="26" t="n"/>
      <c r="Z124" s="25" t="n"/>
    </row>
    <row r="125">
      <c r="A125" s="25" t="n"/>
      <c r="B125" s="26" t="n"/>
      <c r="C125" s="25" t="n"/>
      <c r="D125" s="25" t="n"/>
      <c r="E125" s="25" t="n"/>
      <c r="F125" s="25" t="n"/>
      <c r="G125" s="25" t="n"/>
      <c r="H125" s="25" t="n"/>
      <c r="I125" s="25" t="n"/>
      <c r="J125" s="27">
        <f>IF(G125="","",IFERROR(INDEX(Parámetros!$B$8:$B$20,MATCH(G125,Parámetros!$A$8:$A$20,0)),""))</f>
        <v/>
      </c>
      <c r="K125" s="16" t="n"/>
      <c r="L125" s="16" t="n"/>
      <c r="M125" s="28">
        <f>IF(A125="","",I125*J125-K125+L125)</f>
        <v/>
      </c>
      <c r="N125" s="27">
        <f>IF(A125="","",IFERROR(I125*INDEX(Parámetros!$C$8:$C$20,MATCH(G125,Parámetros!$A$8:$A$20,0)),0))</f>
        <v/>
      </c>
      <c r="O125" s="27">
        <f>IF(A125="","",IFERROR(I125*INDEX(Parámetros!$D$8:$D$20,MATCH(G125,Parámetros!$A$8:$A$20,0)),0))</f>
        <v/>
      </c>
      <c r="P125" s="28">
        <f>IF(A125="","",M125*Parámetros!$B$3+Parámetros!$B$4)</f>
        <v/>
      </c>
      <c r="Q125" s="16" t="n"/>
      <c r="R125" s="28">
        <f>IF(A125="","",M125/1.21-N125-O125-P125-Q125)</f>
        <v/>
      </c>
      <c r="S125" s="29">
        <f>IF(OR(A125="",M125=0),"",R125/(M125/1.21))</f>
        <v/>
      </c>
      <c r="T125" s="25" t="n"/>
      <c r="U125" s="25" t="n"/>
      <c r="V125" s="25" t="n"/>
      <c r="W125" s="25" t="n"/>
      <c r="X125" s="26" t="n"/>
      <c r="Y125" s="26" t="n"/>
      <c r="Z125" s="25" t="n"/>
    </row>
    <row r="126">
      <c r="A126" s="25" t="n"/>
      <c r="B126" s="26" t="n"/>
      <c r="C126" s="25" t="n"/>
      <c r="D126" s="25" t="n"/>
      <c r="E126" s="25" t="n"/>
      <c r="F126" s="25" t="n"/>
      <c r="G126" s="25" t="n"/>
      <c r="H126" s="25" t="n"/>
      <c r="I126" s="25" t="n"/>
      <c r="J126" s="27">
        <f>IF(G126="","",IFERROR(INDEX(Parámetros!$B$8:$B$20,MATCH(G126,Parámetros!$A$8:$A$20,0)),""))</f>
        <v/>
      </c>
      <c r="K126" s="16" t="n"/>
      <c r="L126" s="16" t="n"/>
      <c r="M126" s="28">
        <f>IF(A126="","",I126*J126-K126+L126)</f>
        <v/>
      </c>
      <c r="N126" s="27">
        <f>IF(A126="","",IFERROR(I126*INDEX(Parámetros!$C$8:$C$20,MATCH(G126,Parámetros!$A$8:$A$20,0)),0))</f>
        <v/>
      </c>
      <c r="O126" s="27">
        <f>IF(A126="","",IFERROR(I126*INDEX(Parámetros!$D$8:$D$20,MATCH(G126,Parámetros!$A$8:$A$20,0)),0))</f>
        <v/>
      </c>
      <c r="P126" s="28">
        <f>IF(A126="","",M126*Parámetros!$B$3+Parámetros!$B$4)</f>
        <v/>
      </c>
      <c r="Q126" s="16" t="n"/>
      <c r="R126" s="28">
        <f>IF(A126="","",M126/1.21-N126-O126-P126-Q126)</f>
        <v/>
      </c>
      <c r="S126" s="29">
        <f>IF(OR(A126="",M126=0),"",R126/(M126/1.21))</f>
        <v/>
      </c>
      <c r="T126" s="25" t="n"/>
      <c r="U126" s="25" t="n"/>
      <c r="V126" s="25" t="n"/>
      <c r="W126" s="25" t="n"/>
      <c r="X126" s="26" t="n"/>
      <c r="Y126" s="26" t="n"/>
      <c r="Z126" s="25" t="n"/>
    </row>
    <row r="127">
      <c r="A127" s="25" t="n"/>
      <c r="B127" s="26" t="n"/>
      <c r="C127" s="25" t="n"/>
      <c r="D127" s="25" t="n"/>
      <c r="E127" s="25" t="n"/>
      <c r="F127" s="25" t="n"/>
      <c r="G127" s="25" t="n"/>
      <c r="H127" s="25" t="n"/>
      <c r="I127" s="25" t="n"/>
      <c r="J127" s="27">
        <f>IF(G127="","",IFERROR(INDEX(Parámetros!$B$8:$B$20,MATCH(G127,Parámetros!$A$8:$A$20,0)),""))</f>
        <v/>
      </c>
      <c r="K127" s="16" t="n"/>
      <c r="L127" s="16" t="n"/>
      <c r="M127" s="28">
        <f>IF(A127="","",I127*J127-K127+L127)</f>
        <v/>
      </c>
      <c r="N127" s="27">
        <f>IF(A127="","",IFERROR(I127*INDEX(Parámetros!$C$8:$C$20,MATCH(G127,Parámetros!$A$8:$A$20,0)),0))</f>
        <v/>
      </c>
      <c r="O127" s="27">
        <f>IF(A127="","",IFERROR(I127*INDEX(Parámetros!$D$8:$D$20,MATCH(G127,Parámetros!$A$8:$A$20,0)),0))</f>
        <v/>
      </c>
      <c r="P127" s="28">
        <f>IF(A127="","",M127*Parámetros!$B$3+Parámetros!$B$4)</f>
        <v/>
      </c>
      <c r="Q127" s="16" t="n"/>
      <c r="R127" s="28">
        <f>IF(A127="","",M127/1.21-N127-O127-P127-Q127)</f>
        <v/>
      </c>
      <c r="S127" s="29">
        <f>IF(OR(A127="",M127=0),"",R127/(M127/1.21))</f>
        <v/>
      </c>
      <c r="T127" s="25" t="n"/>
      <c r="U127" s="25" t="n"/>
      <c r="V127" s="25" t="n"/>
      <c r="W127" s="25" t="n"/>
      <c r="X127" s="26" t="n"/>
      <c r="Y127" s="26" t="n"/>
      <c r="Z127" s="25" t="n"/>
    </row>
    <row r="128">
      <c r="A128" s="25" t="n"/>
      <c r="B128" s="26" t="n"/>
      <c r="C128" s="25" t="n"/>
      <c r="D128" s="25" t="n"/>
      <c r="E128" s="25" t="n"/>
      <c r="F128" s="25" t="n"/>
      <c r="G128" s="25" t="n"/>
      <c r="H128" s="25" t="n"/>
      <c r="I128" s="25" t="n"/>
      <c r="J128" s="27">
        <f>IF(G128="","",IFERROR(INDEX(Parámetros!$B$8:$B$20,MATCH(G128,Parámetros!$A$8:$A$20,0)),""))</f>
        <v/>
      </c>
      <c r="K128" s="16" t="n"/>
      <c r="L128" s="16" t="n"/>
      <c r="M128" s="28">
        <f>IF(A128="","",I128*J128-K128+L128)</f>
        <v/>
      </c>
      <c r="N128" s="27">
        <f>IF(A128="","",IFERROR(I128*INDEX(Parámetros!$C$8:$C$20,MATCH(G128,Parámetros!$A$8:$A$20,0)),0))</f>
        <v/>
      </c>
      <c r="O128" s="27">
        <f>IF(A128="","",IFERROR(I128*INDEX(Parámetros!$D$8:$D$20,MATCH(G128,Parámetros!$A$8:$A$20,0)),0))</f>
        <v/>
      </c>
      <c r="P128" s="28">
        <f>IF(A128="","",M128*Parámetros!$B$3+Parámetros!$B$4)</f>
        <v/>
      </c>
      <c r="Q128" s="16" t="n"/>
      <c r="R128" s="28">
        <f>IF(A128="","",M128/1.21-N128-O128-P128-Q128)</f>
        <v/>
      </c>
      <c r="S128" s="29">
        <f>IF(OR(A128="",M128=0),"",R128/(M128/1.21))</f>
        <v/>
      </c>
      <c r="T128" s="25" t="n"/>
      <c r="U128" s="25" t="n"/>
      <c r="V128" s="25" t="n"/>
      <c r="W128" s="25" t="n"/>
      <c r="X128" s="26" t="n"/>
      <c r="Y128" s="26" t="n"/>
      <c r="Z128" s="25" t="n"/>
    </row>
    <row r="129">
      <c r="A129" s="25" t="n"/>
      <c r="B129" s="26" t="n"/>
      <c r="C129" s="25" t="n"/>
      <c r="D129" s="25" t="n"/>
      <c r="E129" s="25" t="n"/>
      <c r="F129" s="25" t="n"/>
      <c r="G129" s="25" t="n"/>
      <c r="H129" s="25" t="n"/>
      <c r="I129" s="25" t="n"/>
      <c r="J129" s="27">
        <f>IF(G129="","",IFERROR(INDEX(Parámetros!$B$8:$B$20,MATCH(G129,Parámetros!$A$8:$A$20,0)),""))</f>
        <v/>
      </c>
      <c r="K129" s="16" t="n"/>
      <c r="L129" s="16" t="n"/>
      <c r="M129" s="28">
        <f>IF(A129="","",I129*J129-K129+L129)</f>
        <v/>
      </c>
      <c r="N129" s="27">
        <f>IF(A129="","",IFERROR(I129*INDEX(Parámetros!$C$8:$C$20,MATCH(G129,Parámetros!$A$8:$A$20,0)),0))</f>
        <v/>
      </c>
      <c r="O129" s="27">
        <f>IF(A129="","",IFERROR(I129*INDEX(Parámetros!$D$8:$D$20,MATCH(G129,Parámetros!$A$8:$A$20,0)),0))</f>
        <v/>
      </c>
      <c r="P129" s="28">
        <f>IF(A129="","",M129*Parámetros!$B$3+Parámetros!$B$4)</f>
        <v/>
      </c>
      <c r="Q129" s="16" t="n"/>
      <c r="R129" s="28">
        <f>IF(A129="","",M129/1.21-N129-O129-P129-Q129)</f>
        <v/>
      </c>
      <c r="S129" s="29">
        <f>IF(OR(A129="",M129=0),"",R129/(M129/1.21))</f>
        <v/>
      </c>
      <c r="T129" s="25" t="n"/>
      <c r="U129" s="25" t="n"/>
      <c r="V129" s="25" t="n"/>
      <c r="W129" s="25" t="n"/>
      <c r="X129" s="26" t="n"/>
      <c r="Y129" s="26" t="n"/>
      <c r="Z129" s="25" t="n"/>
    </row>
    <row r="130">
      <c r="A130" s="25" t="n"/>
      <c r="B130" s="26" t="n"/>
      <c r="C130" s="25" t="n"/>
      <c r="D130" s="25" t="n"/>
      <c r="E130" s="25" t="n"/>
      <c r="F130" s="25" t="n"/>
      <c r="G130" s="25" t="n"/>
      <c r="H130" s="25" t="n"/>
      <c r="I130" s="25" t="n"/>
      <c r="J130" s="27">
        <f>IF(G130="","",IFERROR(INDEX(Parámetros!$B$8:$B$20,MATCH(G130,Parámetros!$A$8:$A$20,0)),""))</f>
        <v/>
      </c>
      <c r="K130" s="16" t="n"/>
      <c r="L130" s="16" t="n"/>
      <c r="M130" s="28">
        <f>IF(A130="","",I130*J130-K130+L130)</f>
        <v/>
      </c>
      <c r="N130" s="27">
        <f>IF(A130="","",IFERROR(I130*INDEX(Parámetros!$C$8:$C$20,MATCH(G130,Parámetros!$A$8:$A$20,0)),0))</f>
        <v/>
      </c>
      <c r="O130" s="27">
        <f>IF(A130="","",IFERROR(I130*INDEX(Parámetros!$D$8:$D$20,MATCH(G130,Parámetros!$A$8:$A$20,0)),0))</f>
        <v/>
      </c>
      <c r="P130" s="28">
        <f>IF(A130="","",M130*Parámetros!$B$3+Parámetros!$B$4)</f>
        <v/>
      </c>
      <c r="Q130" s="16" t="n"/>
      <c r="R130" s="28">
        <f>IF(A130="","",M130/1.21-N130-O130-P130-Q130)</f>
        <v/>
      </c>
      <c r="S130" s="29">
        <f>IF(OR(A130="",M130=0),"",R130/(M130/1.21))</f>
        <v/>
      </c>
      <c r="T130" s="25" t="n"/>
      <c r="U130" s="25" t="n"/>
      <c r="V130" s="25" t="n"/>
      <c r="W130" s="25" t="n"/>
      <c r="X130" s="26" t="n"/>
      <c r="Y130" s="26" t="n"/>
      <c r="Z130" s="25" t="n"/>
    </row>
    <row r="131">
      <c r="A131" s="25" t="n"/>
      <c r="B131" s="26" t="n"/>
      <c r="C131" s="25" t="n"/>
      <c r="D131" s="25" t="n"/>
      <c r="E131" s="25" t="n"/>
      <c r="F131" s="25" t="n"/>
      <c r="G131" s="25" t="n"/>
      <c r="H131" s="25" t="n"/>
      <c r="I131" s="25" t="n"/>
      <c r="J131" s="27">
        <f>IF(G131="","",IFERROR(INDEX(Parámetros!$B$8:$B$20,MATCH(G131,Parámetros!$A$8:$A$20,0)),""))</f>
        <v/>
      </c>
      <c r="K131" s="16" t="n"/>
      <c r="L131" s="16" t="n"/>
      <c r="M131" s="28">
        <f>IF(A131="","",I131*J131-K131+L131)</f>
        <v/>
      </c>
      <c r="N131" s="27">
        <f>IF(A131="","",IFERROR(I131*INDEX(Parámetros!$C$8:$C$20,MATCH(G131,Parámetros!$A$8:$A$20,0)),0))</f>
        <v/>
      </c>
      <c r="O131" s="27">
        <f>IF(A131="","",IFERROR(I131*INDEX(Parámetros!$D$8:$D$20,MATCH(G131,Parámetros!$A$8:$A$20,0)),0))</f>
        <v/>
      </c>
      <c r="P131" s="28">
        <f>IF(A131="","",M131*Parámetros!$B$3+Parámetros!$B$4)</f>
        <v/>
      </c>
      <c r="Q131" s="16" t="n"/>
      <c r="R131" s="28">
        <f>IF(A131="","",M131/1.21-N131-O131-P131-Q131)</f>
        <v/>
      </c>
      <c r="S131" s="29">
        <f>IF(OR(A131="",M131=0),"",R131/(M131/1.21))</f>
        <v/>
      </c>
      <c r="T131" s="25" t="n"/>
      <c r="U131" s="25" t="n"/>
      <c r="V131" s="25" t="n"/>
      <c r="W131" s="25" t="n"/>
      <c r="X131" s="26" t="n"/>
      <c r="Y131" s="26" t="n"/>
      <c r="Z131" s="25" t="n"/>
    </row>
    <row r="132">
      <c r="A132" s="25" t="n"/>
      <c r="B132" s="26" t="n"/>
      <c r="C132" s="25" t="n"/>
      <c r="D132" s="25" t="n"/>
      <c r="E132" s="25" t="n"/>
      <c r="F132" s="25" t="n"/>
      <c r="G132" s="25" t="n"/>
      <c r="H132" s="25" t="n"/>
      <c r="I132" s="25" t="n"/>
      <c r="J132" s="27">
        <f>IF(G132="","",IFERROR(INDEX(Parámetros!$B$8:$B$20,MATCH(G132,Parámetros!$A$8:$A$20,0)),""))</f>
        <v/>
      </c>
      <c r="K132" s="16" t="n"/>
      <c r="L132" s="16" t="n"/>
      <c r="M132" s="28">
        <f>IF(A132="","",I132*J132-K132+L132)</f>
        <v/>
      </c>
      <c r="N132" s="27">
        <f>IF(A132="","",IFERROR(I132*INDEX(Parámetros!$C$8:$C$20,MATCH(G132,Parámetros!$A$8:$A$20,0)),0))</f>
        <v/>
      </c>
      <c r="O132" s="27">
        <f>IF(A132="","",IFERROR(I132*INDEX(Parámetros!$D$8:$D$20,MATCH(G132,Parámetros!$A$8:$A$20,0)),0))</f>
        <v/>
      </c>
      <c r="P132" s="28">
        <f>IF(A132="","",M132*Parámetros!$B$3+Parámetros!$B$4)</f>
        <v/>
      </c>
      <c r="Q132" s="16" t="n"/>
      <c r="R132" s="28">
        <f>IF(A132="","",M132/1.21-N132-O132-P132-Q132)</f>
        <v/>
      </c>
      <c r="S132" s="29">
        <f>IF(OR(A132="",M132=0),"",R132/(M132/1.21))</f>
        <v/>
      </c>
      <c r="T132" s="25" t="n"/>
      <c r="U132" s="25" t="n"/>
      <c r="V132" s="25" t="n"/>
      <c r="W132" s="25" t="n"/>
      <c r="X132" s="26" t="n"/>
      <c r="Y132" s="26" t="n"/>
      <c r="Z132" s="25" t="n"/>
    </row>
    <row r="133">
      <c r="A133" s="25" t="n"/>
      <c r="B133" s="26" t="n"/>
      <c r="C133" s="25" t="n"/>
      <c r="D133" s="25" t="n"/>
      <c r="E133" s="25" t="n"/>
      <c r="F133" s="25" t="n"/>
      <c r="G133" s="25" t="n"/>
      <c r="H133" s="25" t="n"/>
      <c r="I133" s="25" t="n"/>
      <c r="J133" s="27">
        <f>IF(G133="","",IFERROR(INDEX(Parámetros!$B$8:$B$20,MATCH(G133,Parámetros!$A$8:$A$20,0)),""))</f>
        <v/>
      </c>
      <c r="K133" s="16" t="n"/>
      <c r="L133" s="16" t="n"/>
      <c r="M133" s="28">
        <f>IF(A133="","",I133*J133-K133+L133)</f>
        <v/>
      </c>
      <c r="N133" s="27">
        <f>IF(A133="","",IFERROR(I133*INDEX(Parámetros!$C$8:$C$20,MATCH(G133,Parámetros!$A$8:$A$20,0)),0))</f>
        <v/>
      </c>
      <c r="O133" s="27">
        <f>IF(A133="","",IFERROR(I133*INDEX(Parámetros!$D$8:$D$20,MATCH(G133,Parámetros!$A$8:$A$20,0)),0))</f>
        <v/>
      </c>
      <c r="P133" s="28">
        <f>IF(A133="","",M133*Parámetros!$B$3+Parámetros!$B$4)</f>
        <v/>
      </c>
      <c r="Q133" s="16" t="n"/>
      <c r="R133" s="28">
        <f>IF(A133="","",M133/1.21-N133-O133-P133-Q133)</f>
        <v/>
      </c>
      <c r="S133" s="29">
        <f>IF(OR(A133="",M133=0),"",R133/(M133/1.21))</f>
        <v/>
      </c>
      <c r="T133" s="25" t="n"/>
      <c r="U133" s="25" t="n"/>
      <c r="V133" s="25" t="n"/>
      <c r="W133" s="25" t="n"/>
      <c r="X133" s="26" t="n"/>
      <c r="Y133" s="26" t="n"/>
      <c r="Z133" s="25" t="n"/>
    </row>
    <row r="134">
      <c r="A134" s="25" t="n"/>
      <c r="B134" s="26" t="n"/>
      <c r="C134" s="25" t="n"/>
      <c r="D134" s="25" t="n"/>
      <c r="E134" s="25" t="n"/>
      <c r="F134" s="25" t="n"/>
      <c r="G134" s="25" t="n"/>
      <c r="H134" s="25" t="n"/>
      <c r="I134" s="25" t="n"/>
      <c r="J134" s="27">
        <f>IF(G134="","",IFERROR(INDEX(Parámetros!$B$8:$B$20,MATCH(G134,Parámetros!$A$8:$A$20,0)),""))</f>
        <v/>
      </c>
      <c r="K134" s="16" t="n"/>
      <c r="L134" s="16" t="n"/>
      <c r="M134" s="28">
        <f>IF(A134="","",I134*J134-K134+L134)</f>
        <v/>
      </c>
      <c r="N134" s="27">
        <f>IF(A134="","",IFERROR(I134*INDEX(Parámetros!$C$8:$C$20,MATCH(G134,Parámetros!$A$8:$A$20,0)),0))</f>
        <v/>
      </c>
      <c r="O134" s="27">
        <f>IF(A134="","",IFERROR(I134*INDEX(Parámetros!$D$8:$D$20,MATCH(G134,Parámetros!$A$8:$A$20,0)),0))</f>
        <v/>
      </c>
      <c r="P134" s="28">
        <f>IF(A134="","",M134*Parámetros!$B$3+Parámetros!$B$4)</f>
        <v/>
      </c>
      <c r="Q134" s="16" t="n"/>
      <c r="R134" s="28">
        <f>IF(A134="","",M134/1.21-N134-O134-P134-Q134)</f>
        <v/>
      </c>
      <c r="S134" s="29">
        <f>IF(OR(A134="",M134=0),"",R134/(M134/1.21))</f>
        <v/>
      </c>
      <c r="T134" s="25" t="n"/>
      <c r="U134" s="25" t="n"/>
      <c r="V134" s="25" t="n"/>
      <c r="W134" s="25" t="n"/>
      <c r="X134" s="26" t="n"/>
      <c r="Y134" s="26" t="n"/>
      <c r="Z134" s="25" t="n"/>
    </row>
    <row r="135">
      <c r="A135" s="25" t="n"/>
      <c r="B135" s="26" t="n"/>
      <c r="C135" s="25" t="n"/>
      <c r="D135" s="25" t="n"/>
      <c r="E135" s="25" t="n"/>
      <c r="F135" s="25" t="n"/>
      <c r="G135" s="25" t="n"/>
      <c r="H135" s="25" t="n"/>
      <c r="I135" s="25" t="n"/>
      <c r="J135" s="27">
        <f>IF(G135="","",IFERROR(INDEX(Parámetros!$B$8:$B$20,MATCH(G135,Parámetros!$A$8:$A$20,0)),""))</f>
        <v/>
      </c>
      <c r="K135" s="16" t="n"/>
      <c r="L135" s="16" t="n"/>
      <c r="M135" s="28">
        <f>IF(A135="","",I135*J135-K135+L135)</f>
        <v/>
      </c>
      <c r="N135" s="27">
        <f>IF(A135="","",IFERROR(I135*INDEX(Parámetros!$C$8:$C$20,MATCH(G135,Parámetros!$A$8:$A$20,0)),0))</f>
        <v/>
      </c>
      <c r="O135" s="27">
        <f>IF(A135="","",IFERROR(I135*INDEX(Parámetros!$D$8:$D$20,MATCH(G135,Parámetros!$A$8:$A$20,0)),0))</f>
        <v/>
      </c>
      <c r="P135" s="28">
        <f>IF(A135="","",M135*Parámetros!$B$3+Parámetros!$B$4)</f>
        <v/>
      </c>
      <c r="Q135" s="16" t="n"/>
      <c r="R135" s="28">
        <f>IF(A135="","",M135/1.21-N135-O135-P135-Q135)</f>
        <v/>
      </c>
      <c r="S135" s="29">
        <f>IF(OR(A135="",M135=0),"",R135/(M135/1.21))</f>
        <v/>
      </c>
      <c r="T135" s="25" t="n"/>
      <c r="U135" s="25" t="n"/>
      <c r="V135" s="25" t="n"/>
      <c r="W135" s="25" t="n"/>
      <c r="X135" s="26" t="n"/>
      <c r="Y135" s="26" t="n"/>
      <c r="Z135" s="25" t="n"/>
    </row>
    <row r="136">
      <c r="A136" s="25" t="n"/>
      <c r="B136" s="26" t="n"/>
      <c r="C136" s="25" t="n"/>
      <c r="D136" s="25" t="n"/>
      <c r="E136" s="25" t="n"/>
      <c r="F136" s="25" t="n"/>
      <c r="G136" s="25" t="n"/>
      <c r="H136" s="25" t="n"/>
      <c r="I136" s="25" t="n"/>
      <c r="J136" s="27">
        <f>IF(G136="","",IFERROR(INDEX(Parámetros!$B$8:$B$20,MATCH(G136,Parámetros!$A$8:$A$20,0)),""))</f>
        <v/>
      </c>
      <c r="K136" s="16" t="n"/>
      <c r="L136" s="16" t="n"/>
      <c r="M136" s="28">
        <f>IF(A136="","",I136*J136-K136+L136)</f>
        <v/>
      </c>
      <c r="N136" s="27">
        <f>IF(A136="","",IFERROR(I136*INDEX(Parámetros!$C$8:$C$20,MATCH(G136,Parámetros!$A$8:$A$20,0)),0))</f>
        <v/>
      </c>
      <c r="O136" s="27">
        <f>IF(A136="","",IFERROR(I136*INDEX(Parámetros!$D$8:$D$20,MATCH(G136,Parámetros!$A$8:$A$20,0)),0))</f>
        <v/>
      </c>
      <c r="P136" s="28">
        <f>IF(A136="","",M136*Parámetros!$B$3+Parámetros!$B$4)</f>
        <v/>
      </c>
      <c r="Q136" s="16" t="n"/>
      <c r="R136" s="28">
        <f>IF(A136="","",M136/1.21-N136-O136-P136-Q136)</f>
        <v/>
      </c>
      <c r="S136" s="29">
        <f>IF(OR(A136="",M136=0),"",R136/(M136/1.21))</f>
        <v/>
      </c>
      <c r="T136" s="25" t="n"/>
      <c r="U136" s="25" t="n"/>
      <c r="V136" s="25" t="n"/>
      <c r="W136" s="25" t="n"/>
      <c r="X136" s="26" t="n"/>
      <c r="Y136" s="26" t="n"/>
      <c r="Z136" s="25" t="n"/>
    </row>
    <row r="137">
      <c r="A137" s="25" t="n"/>
      <c r="B137" s="26" t="n"/>
      <c r="C137" s="25" t="n"/>
      <c r="D137" s="25" t="n"/>
      <c r="E137" s="25" t="n"/>
      <c r="F137" s="25" t="n"/>
      <c r="G137" s="25" t="n"/>
      <c r="H137" s="25" t="n"/>
      <c r="I137" s="25" t="n"/>
      <c r="J137" s="27">
        <f>IF(G137="","",IFERROR(INDEX(Parámetros!$B$8:$B$20,MATCH(G137,Parámetros!$A$8:$A$20,0)),""))</f>
        <v/>
      </c>
      <c r="K137" s="16" t="n"/>
      <c r="L137" s="16" t="n"/>
      <c r="M137" s="28">
        <f>IF(A137="","",I137*J137-K137+L137)</f>
        <v/>
      </c>
      <c r="N137" s="27">
        <f>IF(A137="","",IFERROR(I137*INDEX(Parámetros!$C$8:$C$20,MATCH(G137,Parámetros!$A$8:$A$20,0)),0))</f>
        <v/>
      </c>
      <c r="O137" s="27">
        <f>IF(A137="","",IFERROR(I137*INDEX(Parámetros!$D$8:$D$20,MATCH(G137,Parámetros!$A$8:$A$20,0)),0))</f>
        <v/>
      </c>
      <c r="P137" s="28">
        <f>IF(A137="","",M137*Parámetros!$B$3+Parámetros!$B$4)</f>
        <v/>
      </c>
      <c r="Q137" s="16" t="n"/>
      <c r="R137" s="28">
        <f>IF(A137="","",M137/1.21-N137-O137-P137-Q137)</f>
        <v/>
      </c>
      <c r="S137" s="29">
        <f>IF(OR(A137="",M137=0),"",R137/(M137/1.21))</f>
        <v/>
      </c>
      <c r="T137" s="25" t="n"/>
      <c r="U137" s="25" t="n"/>
      <c r="V137" s="25" t="n"/>
      <c r="W137" s="25" t="n"/>
      <c r="X137" s="26" t="n"/>
      <c r="Y137" s="26" t="n"/>
      <c r="Z137" s="25" t="n"/>
    </row>
    <row r="138">
      <c r="A138" s="25" t="n"/>
      <c r="B138" s="26" t="n"/>
      <c r="C138" s="25" t="n"/>
      <c r="D138" s="25" t="n"/>
      <c r="E138" s="25" t="n"/>
      <c r="F138" s="25" t="n"/>
      <c r="G138" s="25" t="n"/>
      <c r="H138" s="25" t="n"/>
      <c r="I138" s="25" t="n"/>
      <c r="J138" s="27">
        <f>IF(G138="","",IFERROR(INDEX(Parámetros!$B$8:$B$20,MATCH(G138,Parámetros!$A$8:$A$20,0)),""))</f>
        <v/>
      </c>
      <c r="K138" s="16" t="n"/>
      <c r="L138" s="16" t="n"/>
      <c r="M138" s="28">
        <f>IF(A138="","",I138*J138-K138+L138)</f>
        <v/>
      </c>
      <c r="N138" s="27">
        <f>IF(A138="","",IFERROR(I138*INDEX(Parámetros!$C$8:$C$20,MATCH(G138,Parámetros!$A$8:$A$20,0)),0))</f>
        <v/>
      </c>
      <c r="O138" s="27">
        <f>IF(A138="","",IFERROR(I138*INDEX(Parámetros!$D$8:$D$20,MATCH(G138,Parámetros!$A$8:$A$20,0)),0))</f>
        <v/>
      </c>
      <c r="P138" s="28">
        <f>IF(A138="","",M138*Parámetros!$B$3+Parámetros!$B$4)</f>
        <v/>
      </c>
      <c r="Q138" s="16" t="n"/>
      <c r="R138" s="28">
        <f>IF(A138="","",M138/1.21-N138-O138-P138-Q138)</f>
        <v/>
      </c>
      <c r="S138" s="29">
        <f>IF(OR(A138="",M138=0),"",R138/(M138/1.21))</f>
        <v/>
      </c>
      <c r="T138" s="25" t="n"/>
      <c r="U138" s="25" t="n"/>
      <c r="V138" s="25" t="n"/>
      <c r="W138" s="25" t="n"/>
      <c r="X138" s="26" t="n"/>
      <c r="Y138" s="26" t="n"/>
      <c r="Z138" s="25" t="n"/>
    </row>
    <row r="139">
      <c r="A139" s="25" t="n"/>
      <c r="B139" s="26" t="n"/>
      <c r="C139" s="25" t="n"/>
      <c r="D139" s="25" t="n"/>
      <c r="E139" s="25" t="n"/>
      <c r="F139" s="25" t="n"/>
      <c r="G139" s="25" t="n"/>
      <c r="H139" s="25" t="n"/>
      <c r="I139" s="25" t="n"/>
      <c r="J139" s="27">
        <f>IF(G139="","",IFERROR(INDEX(Parámetros!$B$8:$B$20,MATCH(G139,Parámetros!$A$8:$A$20,0)),""))</f>
        <v/>
      </c>
      <c r="K139" s="16" t="n"/>
      <c r="L139" s="16" t="n"/>
      <c r="M139" s="28">
        <f>IF(A139="","",I139*J139-K139+L139)</f>
        <v/>
      </c>
      <c r="N139" s="27">
        <f>IF(A139="","",IFERROR(I139*INDEX(Parámetros!$C$8:$C$20,MATCH(G139,Parámetros!$A$8:$A$20,0)),0))</f>
        <v/>
      </c>
      <c r="O139" s="27">
        <f>IF(A139="","",IFERROR(I139*INDEX(Parámetros!$D$8:$D$20,MATCH(G139,Parámetros!$A$8:$A$20,0)),0))</f>
        <v/>
      </c>
      <c r="P139" s="28">
        <f>IF(A139="","",M139*Parámetros!$B$3+Parámetros!$B$4)</f>
        <v/>
      </c>
      <c r="Q139" s="16" t="n"/>
      <c r="R139" s="28">
        <f>IF(A139="","",M139/1.21-N139-O139-P139-Q139)</f>
        <v/>
      </c>
      <c r="S139" s="29">
        <f>IF(OR(A139="",M139=0),"",R139/(M139/1.21))</f>
        <v/>
      </c>
      <c r="T139" s="25" t="n"/>
      <c r="U139" s="25" t="n"/>
      <c r="V139" s="25" t="n"/>
      <c r="W139" s="25" t="n"/>
      <c r="X139" s="26" t="n"/>
      <c r="Y139" s="26" t="n"/>
      <c r="Z139" s="25" t="n"/>
    </row>
    <row r="140">
      <c r="A140" s="25" t="n"/>
      <c r="B140" s="26" t="n"/>
      <c r="C140" s="25" t="n"/>
      <c r="D140" s="25" t="n"/>
      <c r="E140" s="25" t="n"/>
      <c r="F140" s="25" t="n"/>
      <c r="G140" s="25" t="n"/>
      <c r="H140" s="25" t="n"/>
      <c r="I140" s="25" t="n"/>
      <c r="J140" s="27">
        <f>IF(G140="","",IFERROR(INDEX(Parámetros!$B$8:$B$20,MATCH(G140,Parámetros!$A$8:$A$20,0)),""))</f>
        <v/>
      </c>
      <c r="K140" s="16" t="n"/>
      <c r="L140" s="16" t="n"/>
      <c r="M140" s="28">
        <f>IF(A140="","",I140*J140-K140+L140)</f>
        <v/>
      </c>
      <c r="N140" s="27">
        <f>IF(A140="","",IFERROR(I140*INDEX(Parámetros!$C$8:$C$20,MATCH(G140,Parámetros!$A$8:$A$20,0)),0))</f>
        <v/>
      </c>
      <c r="O140" s="27">
        <f>IF(A140="","",IFERROR(I140*INDEX(Parámetros!$D$8:$D$20,MATCH(G140,Parámetros!$A$8:$A$20,0)),0))</f>
        <v/>
      </c>
      <c r="P140" s="28">
        <f>IF(A140="","",M140*Parámetros!$B$3+Parámetros!$B$4)</f>
        <v/>
      </c>
      <c r="Q140" s="16" t="n"/>
      <c r="R140" s="28">
        <f>IF(A140="","",M140/1.21-N140-O140-P140-Q140)</f>
        <v/>
      </c>
      <c r="S140" s="29">
        <f>IF(OR(A140="",M140=0),"",R140/(M140/1.21))</f>
        <v/>
      </c>
      <c r="T140" s="25" t="n"/>
      <c r="U140" s="25" t="n"/>
      <c r="V140" s="25" t="n"/>
      <c r="W140" s="25" t="n"/>
      <c r="X140" s="26" t="n"/>
      <c r="Y140" s="26" t="n"/>
      <c r="Z140" s="25" t="n"/>
    </row>
    <row r="141">
      <c r="A141" s="25" t="n"/>
      <c r="B141" s="26" t="n"/>
      <c r="C141" s="25" t="n"/>
      <c r="D141" s="25" t="n"/>
      <c r="E141" s="25" t="n"/>
      <c r="F141" s="25" t="n"/>
      <c r="G141" s="25" t="n"/>
      <c r="H141" s="25" t="n"/>
      <c r="I141" s="25" t="n"/>
      <c r="J141" s="27">
        <f>IF(G141="","",IFERROR(INDEX(Parámetros!$B$8:$B$20,MATCH(G141,Parámetros!$A$8:$A$20,0)),""))</f>
        <v/>
      </c>
      <c r="K141" s="16" t="n"/>
      <c r="L141" s="16" t="n"/>
      <c r="M141" s="28">
        <f>IF(A141="","",I141*J141-K141+L141)</f>
        <v/>
      </c>
      <c r="N141" s="27">
        <f>IF(A141="","",IFERROR(I141*INDEX(Parámetros!$C$8:$C$20,MATCH(G141,Parámetros!$A$8:$A$20,0)),0))</f>
        <v/>
      </c>
      <c r="O141" s="27">
        <f>IF(A141="","",IFERROR(I141*INDEX(Parámetros!$D$8:$D$20,MATCH(G141,Parámetros!$A$8:$A$20,0)),0))</f>
        <v/>
      </c>
      <c r="P141" s="28">
        <f>IF(A141="","",M141*Parámetros!$B$3+Parámetros!$B$4)</f>
        <v/>
      </c>
      <c r="Q141" s="16" t="n"/>
      <c r="R141" s="28">
        <f>IF(A141="","",M141/1.21-N141-O141-P141-Q141)</f>
        <v/>
      </c>
      <c r="S141" s="29">
        <f>IF(OR(A141="",M141=0),"",R141/(M141/1.21))</f>
        <v/>
      </c>
      <c r="T141" s="25" t="n"/>
      <c r="U141" s="25" t="n"/>
      <c r="V141" s="25" t="n"/>
      <c r="W141" s="25" t="n"/>
      <c r="X141" s="26" t="n"/>
      <c r="Y141" s="26" t="n"/>
      <c r="Z141" s="25" t="n"/>
    </row>
    <row r="142">
      <c r="A142" s="25" t="n"/>
      <c r="B142" s="26" t="n"/>
      <c r="C142" s="25" t="n"/>
      <c r="D142" s="25" t="n"/>
      <c r="E142" s="25" t="n"/>
      <c r="F142" s="25" t="n"/>
      <c r="G142" s="25" t="n"/>
      <c r="H142" s="25" t="n"/>
      <c r="I142" s="25" t="n"/>
      <c r="J142" s="27">
        <f>IF(G142="","",IFERROR(INDEX(Parámetros!$B$8:$B$20,MATCH(G142,Parámetros!$A$8:$A$20,0)),""))</f>
        <v/>
      </c>
      <c r="K142" s="16" t="n"/>
      <c r="L142" s="16" t="n"/>
      <c r="M142" s="28">
        <f>IF(A142="","",I142*J142-K142+L142)</f>
        <v/>
      </c>
      <c r="N142" s="27">
        <f>IF(A142="","",IFERROR(I142*INDEX(Parámetros!$C$8:$C$20,MATCH(G142,Parámetros!$A$8:$A$20,0)),0))</f>
        <v/>
      </c>
      <c r="O142" s="27">
        <f>IF(A142="","",IFERROR(I142*INDEX(Parámetros!$D$8:$D$20,MATCH(G142,Parámetros!$A$8:$A$20,0)),0))</f>
        <v/>
      </c>
      <c r="P142" s="28">
        <f>IF(A142="","",M142*Parámetros!$B$3+Parámetros!$B$4)</f>
        <v/>
      </c>
      <c r="Q142" s="16" t="n"/>
      <c r="R142" s="28">
        <f>IF(A142="","",M142/1.21-N142-O142-P142-Q142)</f>
        <v/>
      </c>
      <c r="S142" s="29">
        <f>IF(OR(A142="",M142=0),"",R142/(M142/1.21))</f>
        <v/>
      </c>
      <c r="T142" s="25" t="n"/>
      <c r="U142" s="25" t="n"/>
      <c r="V142" s="25" t="n"/>
      <c r="W142" s="25" t="n"/>
      <c r="X142" s="26" t="n"/>
      <c r="Y142" s="26" t="n"/>
      <c r="Z142" s="25" t="n"/>
    </row>
    <row r="143">
      <c r="A143" s="25" t="n"/>
      <c r="B143" s="26" t="n"/>
      <c r="C143" s="25" t="n"/>
      <c r="D143" s="25" t="n"/>
      <c r="E143" s="25" t="n"/>
      <c r="F143" s="25" t="n"/>
      <c r="G143" s="25" t="n"/>
      <c r="H143" s="25" t="n"/>
      <c r="I143" s="25" t="n"/>
      <c r="J143" s="27">
        <f>IF(G143="","",IFERROR(INDEX(Parámetros!$B$8:$B$20,MATCH(G143,Parámetros!$A$8:$A$20,0)),""))</f>
        <v/>
      </c>
      <c r="K143" s="16" t="n"/>
      <c r="L143" s="16" t="n"/>
      <c r="M143" s="28">
        <f>IF(A143="","",I143*J143-K143+L143)</f>
        <v/>
      </c>
      <c r="N143" s="27">
        <f>IF(A143="","",IFERROR(I143*INDEX(Parámetros!$C$8:$C$20,MATCH(G143,Parámetros!$A$8:$A$20,0)),0))</f>
        <v/>
      </c>
      <c r="O143" s="27">
        <f>IF(A143="","",IFERROR(I143*INDEX(Parámetros!$D$8:$D$20,MATCH(G143,Parámetros!$A$8:$A$20,0)),0))</f>
        <v/>
      </c>
      <c r="P143" s="28">
        <f>IF(A143="","",M143*Parámetros!$B$3+Parámetros!$B$4)</f>
        <v/>
      </c>
      <c r="Q143" s="16" t="n"/>
      <c r="R143" s="28">
        <f>IF(A143="","",M143/1.21-N143-O143-P143-Q143)</f>
        <v/>
      </c>
      <c r="S143" s="29">
        <f>IF(OR(A143="",M143=0),"",R143/(M143/1.21))</f>
        <v/>
      </c>
      <c r="T143" s="25" t="n"/>
      <c r="U143" s="25" t="n"/>
      <c r="V143" s="25" t="n"/>
      <c r="W143" s="25" t="n"/>
      <c r="X143" s="26" t="n"/>
      <c r="Y143" s="26" t="n"/>
      <c r="Z143" s="25" t="n"/>
    </row>
    <row r="144">
      <c r="A144" s="25" t="n"/>
      <c r="B144" s="26" t="n"/>
      <c r="C144" s="25" t="n"/>
      <c r="D144" s="25" t="n"/>
      <c r="E144" s="25" t="n"/>
      <c r="F144" s="25" t="n"/>
      <c r="G144" s="25" t="n"/>
      <c r="H144" s="25" t="n"/>
      <c r="I144" s="25" t="n"/>
      <c r="J144" s="27">
        <f>IF(G144="","",IFERROR(INDEX(Parámetros!$B$8:$B$20,MATCH(G144,Parámetros!$A$8:$A$20,0)),""))</f>
        <v/>
      </c>
      <c r="K144" s="16" t="n"/>
      <c r="L144" s="16" t="n"/>
      <c r="M144" s="28">
        <f>IF(A144="","",I144*J144-K144+L144)</f>
        <v/>
      </c>
      <c r="N144" s="27">
        <f>IF(A144="","",IFERROR(I144*INDEX(Parámetros!$C$8:$C$20,MATCH(G144,Parámetros!$A$8:$A$20,0)),0))</f>
        <v/>
      </c>
      <c r="O144" s="27">
        <f>IF(A144="","",IFERROR(I144*INDEX(Parámetros!$D$8:$D$20,MATCH(G144,Parámetros!$A$8:$A$20,0)),0))</f>
        <v/>
      </c>
      <c r="P144" s="28">
        <f>IF(A144="","",M144*Parámetros!$B$3+Parámetros!$B$4)</f>
        <v/>
      </c>
      <c r="Q144" s="16" t="n"/>
      <c r="R144" s="28">
        <f>IF(A144="","",M144/1.21-N144-O144-P144-Q144)</f>
        <v/>
      </c>
      <c r="S144" s="29">
        <f>IF(OR(A144="",M144=0),"",R144/(M144/1.21))</f>
        <v/>
      </c>
      <c r="T144" s="25" t="n"/>
      <c r="U144" s="25" t="n"/>
      <c r="V144" s="25" t="n"/>
      <c r="W144" s="25" t="n"/>
      <c r="X144" s="26" t="n"/>
      <c r="Y144" s="26" t="n"/>
      <c r="Z144" s="25" t="n"/>
    </row>
    <row r="145">
      <c r="A145" s="25" t="n"/>
      <c r="B145" s="26" t="n"/>
      <c r="C145" s="25" t="n"/>
      <c r="D145" s="25" t="n"/>
      <c r="E145" s="25" t="n"/>
      <c r="F145" s="25" t="n"/>
      <c r="G145" s="25" t="n"/>
      <c r="H145" s="25" t="n"/>
      <c r="I145" s="25" t="n"/>
      <c r="J145" s="27">
        <f>IF(G145="","",IFERROR(INDEX(Parámetros!$B$8:$B$20,MATCH(G145,Parámetros!$A$8:$A$20,0)),""))</f>
        <v/>
      </c>
      <c r="K145" s="16" t="n"/>
      <c r="L145" s="16" t="n"/>
      <c r="M145" s="28">
        <f>IF(A145="","",I145*J145-K145+L145)</f>
        <v/>
      </c>
      <c r="N145" s="27">
        <f>IF(A145="","",IFERROR(I145*INDEX(Parámetros!$C$8:$C$20,MATCH(G145,Parámetros!$A$8:$A$20,0)),0))</f>
        <v/>
      </c>
      <c r="O145" s="27">
        <f>IF(A145="","",IFERROR(I145*INDEX(Parámetros!$D$8:$D$20,MATCH(G145,Parámetros!$A$8:$A$20,0)),0))</f>
        <v/>
      </c>
      <c r="P145" s="28">
        <f>IF(A145="","",M145*Parámetros!$B$3+Parámetros!$B$4)</f>
        <v/>
      </c>
      <c r="Q145" s="16" t="n"/>
      <c r="R145" s="28">
        <f>IF(A145="","",M145/1.21-N145-O145-P145-Q145)</f>
        <v/>
      </c>
      <c r="S145" s="29">
        <f>IF(OR(A145="",M145=0),"",R145/(M145/1.21))</f>
        <v/>
      </c>
      <c r="T145" s="25" t="n"/>
      <c r="U145" s="25" t="n"/>
      <c r="V145" s="25" t="n"/>
      <c r="W145" s="25" t="n"/>
      <c r="X145" s="26" t="n"/>
      <c r="Y145" s="26" t="n"/>
      <c r="Z145" s="25" t="n"/>
    </row>
    <row r="146">
      <c r="A146" s="25" t="n"/>
      <c r="B146" s="26" t="n"/>
      <c r="C146" s="25" t="n"/>
      <c r="D146" s="25" t="n"/>
      <c r="E146" s="25" t="n"/>
      <c r="F146" s="25" t="n"/>
      <c r="G146" s="25" t="n"/>
      <c r="H146" s="25" t="n"/>
      <c r="I146" s="25" t="n"/>
      <c r="J146" s="27">
        <f>IF(G146="","",IFERROR(INDEX(Parámetros!$B$8:$B$20,MATCH(G146,Parámetros!$A$8:$A$20,0)),""))</f>
        <v/>
      </c>
      <c r="K146" s="16" t="n"/>
      <c r="L146" s="16" t="n"/>
      <c r="M146" s="28">
        <f>IF(A146="","",I146*J146-K146+L146)</f>
        <v/>
      </c>
      <c r="N146" s="27">
        <f>IF(A146="","",IFERROR(I146*INDEX(Parámetros!$C$8:$C$20,MATCH(G146,Parámetros!$A$8:$A$20,0)),0))</f>
        <v/>
      </c>
      <c r="O146" s="27">
        <f>IF(A146="","",IFERROR(I146*INDEX(Parámetros!$D$8:$D$20,MATCH(G146,Parámetros!$A$8:$A$20,0)),0))</f>
        <v/>
      </c>
      <c r="P146" s="28">
        <f>IF(A146="","",M146*Parámetros!$B$3+Parámetros!$B$4)</f>
        <v/>
      </c>
      <c r="Q146" s="16" t="n"/>
      <c r="R146" s="28">
        <f>IF(A146="","",M146/1.21-N146-O146-P146-Q146)</f>
        <v/>
      </c>
      <c r="S146" s="29">
        <f>IF(OR(A146="",M146=0),"",R146/(M146/1.21))</f>
        <v/>
      </c>
      <c r="T146" s="25" t="n"/>
      <c r="U146" s="25" t="n"/>
      <c r="V146" s="25" t="n"/>
      <c r="W146" s="25" t="n"/>
      <c r="X146" s="26" t="n"/>
      <c r="Y146" s="26" t="n"/>
      <c r="Z146" s="25" t="n"/>
    </row>
    <row r="147">
      <c r="A147" s="25" t="n"/>
      <c r="B147" s="26" t="n"/>
      <c r="C147" s="25" t="n"/>
      <c r="D147" s="25" t="n"/>
      <c r="E147" s="25" t="n"/>
      <c r="F147" s="25" t="n"/>
      <c r="G147" s="25" t="n"/>
      <c r="H147" s="25" t="n"/>
      <c r="I147" s="25" t="n"/>
      <c r="J147" s="27">
        <f>IF(G147="","",IFERROR(INDEX(Parámetros!$B$8:$B$20,MATCH(G147,Parámetros!$A$8:$A$20,0)),""))</f>
        <v/>
      </c>
      <c r="K147" s="16" t="n"/>
      <c r="L147" s="16" t="n"/>
      <c r="M147" s="28">
        <f>IF(A147="","",I147*J147-K147+L147)</f>
        <v/>
      </c>
      <c r="N147" s="27">
        <f>IF(A147="","",IFERROR(I147*INDEX(Parámetros!$C$8:$C$20,MATCH(G147,Parámetros!$A$8:$A$20,0)),0))</f>
        <v/>
      </c>
      <c r="O147" s="27">
        <f>IF(A147="","",IFERROR(I147*INDEX(Parámetros!$D$8:$D$20,MATCH(G147,Parámetros!$A$8:$A$20,0)),0))</f>
        <v/>
      </c>
      <c r="P147" s="28">
        <f>IF(A147="","",M147*Parámetros!$B$3+Parámetros!$B$4)</f>
        <v/>
      </c>
      <c r="Q147" s="16" t="n"/>
      <c r="R147" s="28">
        <f>IF(A147="","",M147/1.21-N147-O147-P147-Q147)</f>
        <v/>
      </c>
      <c r="S147" s="29">
        <f>IF(OR(A147="",M147=0),"",R147/(M147/1.21))</f>
        <v/>
      </c>
      <c r="T147" s="25" t="n"/>
      <c r="U147" s="25" t="n"/>
      <c r="V147" s="25" t="n"/>
      <c r="W147" s="25" t="n"/>
      <c r="X147" s="26" t="n"/>
      <c r="Y147" s="26" t="n"/>
      <c r="Z147" s="25" t="n"/>
    </row>
    <row r="148">
      <c r="A148" s="25" t="n"/>
      <c r="B148" s="26" t="n"/>
      <c r="C148" s="25" t="n"/>
      <c r="D148" s="25" t="n"/>
      <c r="E148" s="25" t="n"/>
      <c r="F148" s="25" t="n"/>
      <c r="G148" s="25" t="n"/>
      <c r="H148" s="25" t="n"/>
      <c r="I148" s="25" t="n"/>
      <c r="J148" s="27">
        <f>IF(G148="","",IFERROR(INDEX(Parámetros!$B$8:$B$20,MATCH(G148,Parámetros!$A$8:$A$20,0)),""))</f>
        <v/>
      </c>
      <c r="K148" s="16" t="n"/>
      <c r="L148" s="16" t="n"/>
      <c r="M148" s="28">
        <f>IF(A148="","",I148*J148-K148+L148)</f>
        <v/>
      </c>
      <c r="N148" s="27">
        <f>IF(A148="","",IFERROR(I148*INDEX(Parámetros!$C$8:$C$20,MATCH(G148,Parámetros!$A$8:$A$20,0)),0))</f>
        <v/>
      </c>
      <c r="O148" s="27">
        <f>IF(A148="","",IFERROR(I148*INDEX(Parámetros!$D$8:$D$20,MATCH(G148,Parámetros!$A$8:$A$20,0)),0))</f>
        <v/>
      </c>
      <c r="P148" s="28">
        <f>IF(A148="","",M148*Parámetros!$B$3+Parámetros!$B$4)</f>
        <v/>
      </c>
      <c r="Q148" s="16" t="n"/>
      <c r="R148" s="28">
        <f>IF(A148="","",M148/1.21-N148-O148-P148-Q148)</f>
        <v/>
      </c>
      <c r="S148" s="29">
        <f>IF(OR(A148="",M148=0),"",R148/(M148/1.21))</f>
        <v/>
      </c>
      <c r="T148" s="25" t="n"/>
      <c r="U148" s="25" t="n"/>
      <c r="V148" s="25" t="n"/>
      <c r="W148" s="25" t="n"/>
      <c r="X148" s="26" t="n"/>
      <c r="Y148" s="26" t="n"/>
      <c r="Z148" s="25" t="n"/>
    </row>
    <row r="149">
      <c r="A149" s="25" t="n"/>
      <c r="B149" s="26" t="n"/>
      <c r="C149" s="25" t="n"/>
      <c r="D149" s="25" t="n"/>
      <c r="E149" s="25" t="n"/>
      <c r="F149" s="25" t="n"/>
      <c r="G149" s="25" t="n"/>
      <c r="H149" s="25" t="n"/>
      <c r="I149" s="25" t="n"/>
      <c r="J149" s="27">
        <f>IF(G149="","",IFERROR(INDEX(Parámetros!$B$8:$B$20,MATCH(G149,Parámetros!$A$8:$A$20,0)),""))</f>
        <v/>
      </c>
      <c r="K149" s="16" t="n"/>
      <c r="L149" s="16" t="n"/>
      <c r="M149" s="28">
        <f>IF(A149="","",I149*J149-K149+L149)</f>
        <v/>
      </c>
      <c r="N149" s="27">
        <f>IF(A149="","",IFERROR(I149*INDEX(Parámetros!$C$8:$C$20,MATCH(G149,Parámetros!$A$8:$A$20,0)),0))</f>
        <v/>
      </c>
      <c r="O149" s="27">
        <f>IF(A149="","",IFERROR(I149*INDEX(Parámetros!$D$8:$D$20,MATCH(G149,Parámetros!$A$8:$A$20,0)),0))</f>
        <v/>
      </c>
      <c r="P149" s="28">
        <f>IF(A149="","",M149*Parámetros!$B$3+Parámetros!$B$4)</f>
        <v/>
      </c>
      <c r="Q149" s="16" t="n"/>
      <c r="R149" s="28">
        <f>IF(A149="","",M149/1.21-N149-O149-P149-Q149)</f>
        <v/>
      </c>
      <c r="S149" s="29">
        <f>IF(OR(A149="",M149=0),"",R149/(M149/1.21))</f>
        <v/>
      </c>
      <c r="T149" s="25" t="n"/>
      <c r="U149" s="25" t="n"/>
      <c r="V149" s="25" t="n"/>
      <c r="W149" s="25" t="n"/>
      <c r="X149" s="26" t="n"/>
      <c r="Y149" s="26" t="n"/>
      <c r="Z149" s="25" t="n"/>
    </row>
    <row r="150">
      <c r="A150" s="25" t="n"/>
      <c r="B150" s="26" t="n"/>
      <c r="C150" s="25" t="n"/>
      <c r="D150" s="25" t="n"/>
      <c r="E150" s="25" t="n"/>
      <c r="F150" s="25" t="n"/>
      <c r="G150" s="25" t="n"/>
      <c r="H150" s="25" t="n"/>
      <c r="I150" s="25" t="n"/>
      <c r="J150" s="27">
        <f>IF(G150="","",IFERROR(INDEX(Parámetros!$B$8:$B$20,MATCH(G150,Parámetros!$A$8:$A$20,0)),""))</f>
        <v/>
      </c>
      <c r="K150" s="16" t="n"/>
      <c r="L150" s="16" t="n"/>
      <c r="M150" s="28">
        <f>IF(A150="","",I150*J150-K150+L150)</f>
        <v/>
      </c>
      <c r="N150" s="27">
        <f>IF(A150="","",IFERROR(I150*INDEX(Parámetros!$C$8:$C$20,MATCH(G150,Parámetros!$A$8:$A$20,0)),0))</f>
        <v/>
      </c>
      <c r="O150" s="27">
        <f>IF(A150="","",IFERROR(I150*INDEX(Parámetros!$D$8:$D$20,MATCH(G150,Parámetros!$A$8:$A$20,0)),0))</f>
        <v/>
      </c>
      <c r="P150" s="28">
        <f>IF(A150="","",M150*Parámetros!$B$3+Parámetros!$B$4)</f>
        <v/>
      </c>
      <c r="Q150" s="16" t="n"/>
      <c r="R150" s="28">
        <f>IF(A150="","",M150/1.21-N150-O150-P150-Q150)</f>
        <v/>
      </c>
      <c r="S150" s="29">
        <f>IF(OR(A150="",M150=0),"",R150/(M150/1.21))</f>
        <v/>
      </c>
      <c r="T150" s="25" t="n"/>
      <c r="U150" s="25" t="n"/>
      <c r="V150" s="25" t="n"/>
      <c r="W150" s="25" t="n"/>
      <c r="X150" s="26" t="n"/>
      <c r="Y150" s="26" t="n"/>
      <c r="Z150" s="25" t="n"/>
    </row>
    <row r="151">
      <c r="A151" s="25" t="n"/>
      <c r="B151" s="26" t="n"/>
      <c r="C151" s="25" t="n"/>
      <c r="D151" s="25" t="n"/>
      <c r="E151" s="25" t="n"/>
      <c r="F151" s="25" t="n"/>
      <c r="G151" s="25" t="n"/>
      <c r="H151" s="25" t="n"/>
      <c r="I151" s="25" t="n"/>
      <c r="J151" s="27">
        <f>IF(G151="","",IFERROR(INDEX(Parámetros!$B$8:$B$20,MATCH(G151,Parámetros!$A$8:$A$20,0)),""))</f>
        <v/>
      </c>
      <c r="K151" s="16" t="n"/>
      <c r="L151" s="16" t="n"/>
      <c r="M151" s="28">
        <f>IF(A151="","",I151*J151-K151+L151)</f>
        <v/>
      </c>
      <c r="N151" s="27">
        <f>IF(A151="","",IFERROR(I151*INDEX(Parámetros!$C$8:$C$20,MATCH(G151,Parámetros!$A$8:$A$20,0)),0))</f>
        <v/>
      </c>
      <c r="O151" s="27">
        <f>IF(A151="","",IFERROR(I151*INDEX(Parámetros!$D$8:$D$20,MATCH(G151,Parámetros!$A$8:$A$20,0)),0))</f>
        <v/>
      </c>
      <c r="P151" s="28">
        <f>IF(A151="","",M151*Parámetros!$B$3+Parámetros!$B$4)</f>
        <v/>
      </c>
      <c r="Q151" s="16" t="n"/>
      <c r="R151" s="28">
        <f>IF(A151="","",M151/1.21-N151-O151-P151-Q151)</f>
        <v/>
      </c>
      <c r="S151" s="29">
        <f>IF(OR(A151="",M151=0),"",R151/(M151/1.21))</f>
        <v/>
      </c>
      <c r="T151" s="25" t="n"/>
      <c r="U151" s="25" t="n"/>
      <c r="V151" s="25" t="n"/>
      <c r="W151" s="25" t="n"/>
      <c r="X151" s="26" t="n"/>
      <c r="Y151" s="26" t="n"/>
      <c r="Z151" s="25" t="n"/>
    </row>
    <row r="152">
      <c r="A152" s="25" t="n"/>
      <c r="B152" s="26" t="n"/>
      <c r="C152" s="25" t="n"/>
      <c r="D152" s="25" t="n"/>
      <c r="E152" s="25" t="n"/>
      <c r="F152" s="25" t="n"/>
      <c r="G152" s="25" t="n"/>
      <c r="H152" s="25" t="n"/>
      <c r="I152" s="25" t="n"/>
      <c r="J152" s="27">
        <f>IF(G152="","",IFERROR(INDEX(Parámetros!$B$8:$B$20,MATCH(G152,Parámetros!$A$8:$A$20,0)),""))</f>
        <v/>
      </c>
      <c r="K152" s="16" t="n"/>
      <c r="L152" s="16" t="n"/>
      <c r="M152" s="28">
        <f>IF(A152="","",I152*J152-K152+L152)</f>
        <v/>
      </c>
      <c r="N152" s="27">
        <f>IF(A152="","",IFERROR(I152*INDEX(Parámetros!$C$8:$C$20,MATCH(G152,Parámetros!$A$8:$A$20,0)),0))</f>
        <v/>
      </c>
      <c r="O152" s="27">
        <f>IF(A152="","",IFERROR(I152*INDEX(Parámetros!$D$8:$D$20,MATCH(G152,Parámetros!$A$8:$A$20,0)),0))</f>
        <v/>
      </c>
      <c r="P152" s="28">
        <f>IF(A152="","",M152*Parámetros!$B$3+Parámetros!$B$4)</f>
        <v/>
      </c>
      <c r="Q152" s="16" t="n"/>
      <c r="R152" s="28">
        <f>IF(A152="","",M152/1.21-N152-O152-P152-Q152)</f>
        <v/>
      </c>
      <c r="S152" s="29">
        <f>IF(OR(A152="",M152=0),"",R152/(M152/1.21))</f>
        <v/>
      </c>
      <c r="T152" s="25" t="n"/>
      <c r="U152" s="25" t="n"/>
      <c r="V152" s="25" t="n"/>
      <c r="W152" s="25" t="n"/>
      <c r="X152" s="26" t="n"/>
      <c r="Y152" s="26" t="n"/>
      <c r="Z152" s="25" t="n"/>
    </row>
    <row r="153">
      <c r="A153" s="25" t="n"/>
      <c r="B153" s="26" t="n"/>
      <c r="C153" s="25" t="n"/>
      <c r="D153" s="25" t="n"/>
      <c r="E153" s="25" t="n"/>
      <c r="F153" s="25" t="n"/>
      <c r="G153" s="25" t="n"/>
      <c r="H153" s="25" t="n"/>
      <c r="I153" s="25" t="n"/>
      <c r="J153" s="27">
        <f>IF(G153="","",IFERROR(INDEX(Parámetros!$B$8:$B$20,MATCH(G153,Parámetros!$A$8:$A$20,0)),""))</f>
        <v/>
      </c>
      <c r="K153" s="16" t="n"/>
      <c r="L153" s="16" t="n"/>
      <c r="M153" s="28">
        <f>IF(A153="","",I153*J153-K153+L153)</f>
        <v/>
      </c>
      <c r="N153" s="27">
        <f>IF(A153="","",IFERROR(I153*INDEX(Parámetros!$C$8:$C$20,MATCH(G153,Parámetros!$A$8:$A$20,0)),0))</f>
        <v/>
      </c>
      <c r="O153" s="27">
        <f>IF(A153="","",IFERROR(I153*INDEX(Parámetros!$D$8:$D$20,MATCH(G153,Parámetros!$A$8:$A$20,0)),0))</f>
        <v/>
      </c>
      <c r="P153" s="28">
        <f>IF(A153="","",M153*Parámetros!$B$3+Parámetros!$B$4)</f>
        <v/>
      </c>
      <c r="Q153" s="16" t="n"/>
      <c r="R153" s="28">
        <f>IF(A153="","",M153/1.21-N153-O153-P153-Q153)</f>
        <v/>
      </c>
      <c r="S153" s="29">
        <f>IF(OR(A153="",M153=0),"",R153/(M153/1.21))</f>
        <v/>
      </c>
      <c r="T153" s="25" t="n"/>
      <c r="U153" s="25" t="n"/>
      <c r="V153" s="25" t="n"/>
      <c r="W153" s="25" t="n"/>
      <c r="X153" s="26" t="n"/>
      <c r="Y153" s="26" t="n"/>
      <c r="Z153" s="25" t="n"/>
    </row>
    <row r="154">
      <c r="A154" s="25" t="n"/>
      <c r="B154" s="26" t="n"/>
      <c r="C154" s="25" t="n"/>
      <c r="D154" s="25" t="n"/>
      <c r="E154" s="25" t="n"/>
      <c r="F154" s="25" t="n"/>
      <c r="G154" s="25" t="n"/>
      <c r="H154" s="25" t="n"/>
      <c r="I154" s="25" t="n"/>
      <c r="J154" s="27">
        <f>IF(G154="","",IFERROR(INDEX(Parámetros!$B$8:$B$20,MATCH(G154,Parámetros!$A$8:$A$20,0)),""))</f>
        <v/>
      </c>
      <c r="K154" s="16" t="n"/>
      <c r="L154" s="16" t="n"/>
      <c r="M154" s="28">
        <f>IF(A154="","",I154*J154-K154+L154)</f>
        <v/>
      </c>
      <c r="N154" s="27">
        <f>IF(A154="","",IFERROR(I154*INDEX(Parámetros!$C$8:$C$20,MATCH(G154,Parámetros!$A$8:$A$20,0)),0))</f>
        <v/>
      </c>
      <c r="O154" s="27">
        <f>IF(A154="","",IFERROR(I154*INDEX(Parámetros!$D$8:$D$20,MATCH(G154,Parámetros!$A$8:$A$20,0)),0))</f>
        <v/>
      </c>
      <c r="P154" s="28">
        <f>IF(A154="","",M154*Parámetros!$B$3+Parámetros!$B$4)</f>
        <v/>
      </c>
      <c r="Q154" s="16" t="n"/>
      <c r="R154" s="28">
        <f>IF(A154="","",M154/1.21-N154-O154-P154-Q154)</f>
        <v/>
      </c>
      <c r="S154" s="29">
        <f>IF(OR(A154="",M154=0),"",R154/(M154/1.21))</f>
        <v/>
      </c>
      <c r="T154" s="25" t="n"/>
      <c r="U154" s="25" t="n"/>
      <c r="V154" s="25" t="n"/>
      <c r="W154" s="25" t="n"/>
      <c r="X154" s="26" t="n"/>
      <c r="Y154" s="26" t="n"/>
      <c r="Z154" s="25" t="n"/>
    </row>
    <row r="155">
      <c r="A155" s="25" t="n"/>
      <c r="B155" s="26" t="n"/>
      <c r="C155" s="25" t="n"/>
      <c r="D155" s="25" t="n"/>
      <c r="E155" s="25" t="n"/>
      <c r="F155" s="25" t="n"/>
      <c r="G155" s="25" t="n"/>
      <c r="H155" s="25" t="n"/>
      <c r="I155" s="25" t="n"/>
      <c r="J155" s="27">
        <f>IF(G155="","",IFERROR(INDEX(Parámetros!$B$8:$B$20,MATCH(G155,Parámetros!$A$8:$A$20,0)),""))</f>
        <v/>
      </c>
      <c r="K155" s="16" t="n"/>
      <c r="L155" s="16" t="n"/>
      <c r="M155" s="28">
        <f>IF(A155="","",I155*J155-K155+L155)</f>
        <v/>
      </c>
      <c r="N155" s="27">
        <f>IF(A155="","",IFERROR(I155*INDEX(Parámetros!$C$8:$C$20,MATCH(G155,Parámetros!$A$8:$A$20,0)),0))</f>
        <v/>
      </c>
      <c r="O155" s="27">
        <f>IF(A155="","",IFERROR(I155*INDEX(Parámetros!$D$8:$D$20,MATCH(G155,Parámetros!$A$8:$A$20,0)),0))</f>
        <v/>
      </c>
      <c r="P155" s="28">
        <f>IF(A155="","",M155*Parámetros!$B$3+Parámetros!$B$4)</f>
        <v/>
      </c>
      <c r="Q155" s="16" t="n"/>
      <c r="R155" s="28">
        <f>IF(A155="","",M155/1.21-N155-O155-P155-Q155)</f>
        <v/>
      </c>
      <c r="S155" s="29">
        <f>IF(OR(A155="",M155=0),"",R155/(M155/1.21))</f>
        <v/>
      </c>
      <c r="T155" s="25" t="n"/>
      <c r="U155" s="25" t="n"/>
      <c r="V155" s="25" t="n"/>
      <c r="W155" s="25" t="n"/>
      <c r="X155" s="26" t="n"/>
      <c r="Y155" s="26" t="n"/>
      <c r="Z155" s="25" t="n"/>
    </row>
    <row r="156">
      <c r="A156" s="25" t="n"/>
      <c r="B156" s="26" t="n"/>
      <c r="C156" s="25" t="n"/>
      <c r="D156" s="25" t="n"/>
      <c r="E156" s="25" t="n"/>
      <c r="F156" s="25" t="n"/>
      <c r="G156" s="25" t="n"/>
      <c r="H156" s="25" t="n"/>
      <c r="I156" s="25" t="n"/>
      <c r="J156" s="27">
        <f>IF(G156="","",IFERROR(INDEX(Parámetros!$B$8:$B$20,MATCH(G156,Parámetros!$A$8:$A$20,0)),""))</f>
        <v/>
      </c>
      <c r="K156" s="16" t="n"/>
      <c r="L156" s="16" t="n"/>
      <c r="M156" s="28">
        <f>IF(A156="","",I156*J156-K156+L156)</f>
        <v/>
      </c>
      <c r="N156" s="27">
        <f>IF(A156="","",IFERROR(I156*INDEX(Parámetros!$C$8:$C$20,MATCH(G156,Parámetros!$A$8:$A$20,0)),0))</f>
        <v/>
      </c>
      <c r="O156" s="27">
        <f>IF(A156="","",IFERROR(I156*INDEX(Parámetros!$D$8:$D$20,MATCH(G156,Parámetros!$A$8:$A$20,0)),0))</f>
        <v/>
      </c>
      <c r="P156" s="28">
        <f>IF(A156="","",M156*Parámetros!$B$3+Parámetros!$B$4)</f>
        <v/>
      </c>
      <c r="Q156" s="16" t="n"/>
      <c r="R156" s="28">
        <f>IF(A156="","",M156/1.21-N156-O156-P156-Q156)</f>
        <v/>
      </c>
      <c r="S156" s="29">
        <f>IF(OR(A156="",M156=0),"",R156/(M156/1.21))</f>
        <v/>
      </c>
      <c r="T156" s="25" t="n"/>
      <c r="U156" s="25" t="n"/>
      <c r="V156" s="25" t="n"/>
      <c r="W156" s="25" t="n"/>
      <c r="X156" s="26" t="n"/>
      <c r="Y156" s="26" t="n"/>
      <c r="Z156" s="25" t="n"/>
    </row>
    <row r="157">
      <c r="A157" s="25" t="n"/>
      <c r="B157" s="26" t="n"/>
      <c r="C157" s="25" t="n"/>
      <c r="D157" s="25" t="n"/>
      <c r="E157" s="25" t="n"/>
      <c r="F157" s="25" t="n"/>
      <c r="G157" s="25" t="n"/>
      <c r="H157" s="25" t="n"/>
      <c r="I157" s="25" t="n"/>
      <c r="J157" s="27">
        <f>IF(G157="","",IFERROR(INDEX(Parámetros!$B$8:$B$20,MATCH(G157,Parámetros!$A$8:$A$20,0)),""))</f>
        <v/>
      </c>
      <c r="K157" s="16" t="n"/>
      <c r="L157" s="16" t="n"/>
      <c r="M157" s="28">
        <f>IF(A157="","",I157*J157-K157+L157)</f>
        <v/>
      </c>
      <c r="N157" s="27">
        <f>IF(A157="","",IFERROR(I157*INDEX(Parámetros!$C$8:$C$20,MATCH(G157,Parámetros!$A$8:$A$20,0)),0))</f>
        <v/>
      </c>
      <c r="O157" s="27">
        <f>IF(A157="","",IFERROR(I157*INDEX(Parámetros!$D$8:$D$20,MATCH(G157,Parámetros!$A$8:$A$20,0)),0))</f>
        <v/>
      </c>
      <c r="P157" s="28">
        <f>IF(A157="","",M157*Parámetros!$B$3+Parámetros!$B$4)</f>
        <v/>
      </c>
      <c r="Q157" s="16" t="n"/>
      <c r="R157" s="28">
        <f>IF(A157="","",M157/1.21-N157-O157-P157-Q157)</f>
        <v/>
      </c>
      <c r="S157" s="29">
        <f>IF(OR(A157="",M157=0),"",R157/(M157/1.21))</f>
        <v/>
      </c>
      <c r="T157" s="25" t="n"/>
      <c r="U157" s="25" t="n"/>
      <c r="V157" s="25" t="n"/>
      <c r="W157" s="25" t="n"/>
      <c r="X157" s="26" t="n"/>
      <c r="Y157" s="26" t="n"/>
      <c r="Z157" s="25" t="n"/>
    </row>
    <row r="158">
      <c r="A158" s="25" t="n"/>
      <c r="B158" s="26" t="n"/>
      <c r="C158" s="25" t="n"/>
      <c r="D158" s="25" t="n"/>
      <c r="E158" s="25" t="n"/>
      <c r="F158" s="25" t="n"/>
      <c r="G158" s="25" t="n"/>
      <c r="H158" s="25" t="n"/>
      <c r="I158" s="25" t="n"/>
      <c r="J158" s="27">
        <f>IF(G158="","",IFERROR(INDEX(Parámetros!$B$8:$B$20,MATCH(G158,Parámetros!$A$8:$A$20,0)),""))</f>
        <v/>
      </c>
      <c r="K158" s="16" t="n"/>
      <c r="L158" s="16" t="n"/>
      <c r="M158" s="28">
        <f>IF(A158="","",I158*J158-K158+L158)</f>
        <v/>
      </c>
      <c r="N158" s="27">
        <f>IF(A158="","",IFERROR(I158*INDEX(Parámetros!$C$8:$C$20,MATCH(G158,Parámetros!$A$8:$A$20,0)),0))</f>
        <v/>
      </c>
      <c r="O158" s="27">
        <f>IF(A158="","",IFERROR(I158*INDEX(Parámetros!$D$8:$D$20,MATCH(G158,Parámetros!$A$8:$A$20,0)),0))</f>
        <v/>
      </c>
      <c r="P158" s="28">
        <f>IF(A158="","",M158*Parámetros!$B$3+Parámetros!$B$4)</f>
        <v/>
      </c>
      <c r="Q158" s="16" t="n"/>
      <c r="R158" s="28">
        <f>IF(A158="","",M158/1.21-N158-O158-P158-Q158)</f>
        <v/>
      </c>
      <c r="S158" s="29">
        <f>IF(OR(A158="",M158=0),"",R158/(M158/1.21))</f>
        <v/>
      </c>
      <c r="T158" s="25" t="n"/>
      <c r="U158" s="25" t="n"/>
      <c r="V158" s="25" t="n"/>
      <c r="W158" s="25" t="n"/>
      <c r="X158" s="26" t="n"/>
      <c r="Y158" s="26" t="n"/>
      <c r="Z158" s="25" t="n"/>
    </row>
    <row r="159">
      <c r="A159" s="25" t="n"/>
      <c r="B159" s="26" t="n"/>
      <c r="C159" s="25" t="n"/>
      <c r="D159" s="25" t="n"/>
      <c r="E159" s="25" t="n"/>
      <c r="F159" s="25" t="n"/>
      <c r="G159" s="25" t="n"/>
      <c r="H159" s="25" t="n"/>
      <c r="I159" s="25" t="n"/>
      <c r="J159" s="27">
        <f>IF(G159="","",IFERROR(INDEX(Parámetros!$B$8:$B$20,MATCH(G159,Parámetros!$A$8:$A$20,0)),""))</f>
        <v/>
      </c>
      <c r="K159" s="16" t="n"/>
      <c r="L159" s="16" t="n"/>
      <c r="M159" s="28">
        <f>IF(A159="","",I159*J159-K159+L159)</f>
        <v/>
      </c>
      <c r="N159" s="27">
        <f>IF(A159="","",IFERROR(I159*INDEX(Parámetros!$C$8:$C$20,MATCH(G159,Parámetros!$A$8:$A$20,0)),0))</f>
        <v/>
      </c>
      <c r="O159" s="27">
        <f>IF(A159="","",IFERROR(I159*INDEX(Parámetros!$D$8:$D$20,MATCH(G159,Parámetros!$A$8:$A$20,0)),0))</f>
        <v/>
      </c>
      <c r="P159" s="28">
        <f>IF(A159="","",M159*Parámetros!$B$3+Parámetros!$B$4)</f>
        <v/>
      </c>
      <c r="Q159" s="16" t="n"/>
      <c r="R159" s="28">
        <f>IF(A159="","",M159/1.21-N159-O159-P159-Q159)</f>
        <v/>
      </c>
      <c r="S159" s="29">
        <f>IF(OR(A159="",M159=0),"",R159/(M159/1.21))</f>
        <v/>
      </c>
      <c r="T159" s="25" t="n"/>
      <c r="U159" s="25" t="n"/>
      <c r="V159" s="25" t="n"/>
      <c r="W159" s="25" t="n"/>
      <c r="X159" s="26" t="n"/>
      <c r="Y159" s="26" t="n"/>
      <c r="Z159" s="25" t="n"/>
    </row>
    <row r="160">
      <c r="A160" s="25" t="n"/>
      <c r="B160" s="26" t="n"/>
      <c r="C160" s="25" t="n"/>
      <c r="D160" s="25" t="n"/>
      <c r="E160" s="25" t="n"/>
      <c r="F160" s="25" t="n"/>
      <c r="G160" s="25" t="n"/>
      <c r="H160" s="25" t="n"/>
      <c r="I160" s="25" t="n"/>
      <c r="J160" s="27">
        <f>IF(G160="","",IFERROR(INDEX(Parámetros!$B$8:$B$20,MATCH(G160,Parámetros!$A$8:$A$20,0)),""))</f>
        <v/>
      </c>
      <c r="K160" s="16" t="n"/>
      <c r="L160" s="16" t="n"/>
      <c r="M160" s="28">
        <f>IF(A160="","",I160*J160-K160+L160)</f>
        <v/>
      </c>
      <c r="N160" s="27">
        <f>IF(A160="","",IFERROR(I160*INDEX(Parámetros!$C$8:$C$20,MATCH(G160,Parámetros!$A$8:$A$20,0)),0))</f>
        <v/>
      </c>
      <c r="O160" s="27">
        <f>IF(A160="","",IFERROR(I160*INDEX(Parámetros!$D$8:$D$20,MATCH(G160,Parámetros!$A$8:$A$20,0)),0))</f>
        <v/>
      </c>
      <c r="P160" s="28">
        <f>IF(A160="","",M160*Parámetros!$B$3+Parámetros!$B$4)</f>
        <v/>
      </c>
      <c r="Q160" s="16" t="n"/>
      <c r="R160" s="28">
        <f>IF(A160="","",M160/1.21-N160-O160-P160-Q160)</f>
        <v/>
      </c>
      <c r="S160" s="29">
        <f>IF(OR(A160="",M160=0),"",R160/(M160/1.21))</f>
        <v/>
      </c>
      <c r="T160" s="25" t="n"/>
      <c r="U160" s="25" t="n"/>
      <c r="V160" s="25" t="n"/>
      <c r="W160" s="25" t="n"/>
      <c r="X160" s="26" t="n"/>
      <c r="Y160" s="26" t="n"/>
      <c r="Z160" s="25" t="n"/>
    </row>
    <row r="161">
      <c r="A161" s="25" t="n"/>
      <c r="B161" s="26" t="n"/>
      <c r="C161" s="25" t="n"/>
      <c r="D161" s="25" t="n"/>
      <c r="E161" s="25" t="n"/>
      <c r="F161" s="25" t="n"/>
      <c r="G161" s="25" t="n"/>
      <c r="H161" s="25" t="n"/>
      <c r="I161" s="25" t="n"/>
      <c r="J161" s="27">
        <f>IF(G161="","",IFERROR(INDEX(Parámetros!$B$8:$B$20,MATCH(G161,Parámetros!$A$8:$A$20,0)),""))</f>
        <v/>
      </c>
      <c r="K161" s="16" t="n"/>
      <c r="L161" s="16" t="n"/>
      <c r="M161" s="28">
        <f>IF(A161="","",I161*J161-K161+L161)</f>
        <v/>
      </c>
      <c r="N161" s="27">
        <f>IF(A161="","",IFERROR(I161*INDEX(Parámetros!$C$8:$C$20,MATCH(G161,Parámetros!$A$8:$A$20,0)),0))</f>
        <v/>
      </c>
      <c r="O161" s="27">
        <f>IF(A161="","",IFERROR(I161*INDEX(Parámetros!$D$8:$D$20,MATCH(G161,Parámetros!$A$8:$A$20,0)),0))</f>
        <v/>
      </c>
      <c r="P161" s="28">
        <f>IF(A161="","",M161*Parámetros!$B$3+Parámetros!$B$4)</f>
        <v/>
      </c>
      <c r="Q161" s="16" t="n"/>
      <c r="R161" s="28">
        <f>IF(A161="","",M161/1.21-N161-O161-P161-Q161)</f>
        <v/>
      </c>
      <c r="S161" s="29">
        <f>IF(OR(A161="",M161=0),"",R161/(M161/1.21))</f>
        <v/>
      </c>
      <c r="T161" s="25" t="n"/>
      <c r="U161" s="25" t="n"/>
      <c r="V161" s="25" t="n"/>
      <c r="W161" s="25" t="n"/>
      <c r="X161" s="26" t="n"/>
      <c r="Y161" s="26" t="n"/>
      <c r="Z161" s="25" t="n"/>
    </row>
    <row r="162">
      <c r="A162" s="25" t="n"/>
      <c r="B162" s="26" t="n"/>
      <c r="C162" s="25" t="n"/>
      <c r="D162" s="25" t="n"/>
      <c r="E162" s="25" t="n"/>
      <c r="F162" s="25" t="n"/>
      <c r="G162" s="25" t="n"/>
      <c r="H162" s="25" t="n"/>
      <c r="I162" s="25" t="n"/>
      <c r="J162" s="27">
        <f>IF(G162="","",IFERROR(INDEX(Parámetros!$B$8:$B$20,MATCH(G162,Parámetros!$A$8:$A$20,0)),""))</f>
        <v/>
      </c>
      <c r="K162" s="16" t="n"/>
      <c r="L162" s="16" t="n"/>
      <c r="M162" s="28">
        <f>IF(A162="","",I162*J162-K162+L162)</f>
        <v/>
      </c>
      <c r="N162" s="27">
        <f>IF(A162="","",IFERROR(I162*INDEX(Parámetros!$C$8:$C$20,MATCH(G162,Parámetros!$A$8:$A$20,0)),0))</f>
        <v/>
      </c>
      <c r="O162" s="27">
        <f>IF(A162="","",IFERROR(I162*INDEX(Parámetros!$D$8:$D$20,MATCH(G162,Parámetros!$A$8:$A$20,0)),0))</f>
        <v/>
      </c>
      <c r="P162" s="28">
        <f>IF(A162="","",M162*Parámetros!$B$3+Parámetros!$B$4)</f>
        <v/>
      </c>
      <c r="Q162" s="16" t="n"/>
      <c r="R162" s="28">
        <f>IF(A162="","",M162/1.21-N162-O162-P162-Q162)</f>
        <v/>
      </c>
      <c r="S162" s="29">
        <f>IF(OR(A162="",M162=0),"",R162/(M162/1.21))</f>
        <v/>
      </c>
      <c r="T162" s="25" t="n"/>
      <c r="U162" s="25" t="n"/>
      <c r="V162" s="25" t="n"/>
      <c r="W162" s="25" t="n"/>
      <c r="X162" s="26" t="n"/>
      <c r="Y162" s="26" t="n"/>
      <c r="Z162" s="25" t="n"/>
    </row>
    <row r="163">
      <c r="A163" s="25" t="n"/>
      <c r="B163" s="26" t="n"/>
      <c r="C163" s="25" t="n"/>
      <c r="D163" s="25" t="n"/>
      <c r="E163" s="25" t="n"/>
      <c r="F163" s="25" t="n"/>
      <c r="G163" s="25" t="n"/>
      <c r="H163" s="25" t="n"/>
      <c r="I163" s="25" t="n"/>
      <c r="J163" s="27">
        <f>IF(G163="","",IFERROR(INDEX(Parámetros!$B$8:$B$20,MATCH(G163,Parámetros!$A$8:$A$20,0)),""))</f>
        <v/>
      </c>
      <c r="K163" s="16" t="n"/>
      <c r="L163" s="16" t="n"/>
      <c r="M163" s="28">
        <f>IF(A163="","",I163*J163-K163+L163)</f>
        <v/>
      </c>
      <c r="N163" s="27">
        <f>IF(A163="","",IFERROR(I163*INDEX(Parámetros!$C$8:$C$20,MATCH(G163,Parámetros!$A$8:$A$20,0)),0))</f>
        <v/>
      </c>
      <c r="O163" s="27">
        <f>IF(A163="","",IFERROR(I163*INDEX(Parámetros!$D$8:$D$20,MATCH(G163,Parámetros!$A$8:$A$20,0)),0))</f>
        <v/>
      </c>
      <c r="P163" s="28">
        <f>IF(A163="","",M163*Parámetros!$B$3+Parámetros!$B$4)</f>
        <v/>
      </c>
      <c r="Q163" s="16" t="n"/>
      <c r="R163" s="28">
        <f>IF(A163="","",M163/1.21-N163-O163-P163-Q163)</f>
        <v/>
      </c>
      <c r="S163" s="29">
        <f>IF(OR(A163="",M163=0),"",R163/(M163/1.21))</f>
        <v/>
      </c>
      <c r="T163" s="25" t="n"/>
      <c r="U163" s="25" t="n"/>
      <c r="V163" s="25" t="n"/>
      <c r="W163" s="25" t="n"/>
      <c r="X163" s="26" t="n"/>
      <c r="Y163" s="26" t="n"/>
      <c r="Z163" s="25" t="n"/>
    </row>
    <row r="164">
      <c r="A164" s="25" t="n"/>
      <c r="B164" s="26" t="n"/>
      <c r="C164" s="25" t="n"/>
      <c r="D164" s="25" t="n"/>
      <c r="E164" s="25" t="n"/>
      <c r="F164" s="25" t="n"/>
      <c r="G164" s="25" t="n"/>
      <c r="H164" s="25" t="n"/>
      <c r="I164" s="25" t="n"/>
      <c r="J164" s="27">
        <f>IF(G164="","",IFERROR(INDEX(Parámetros!$B$8:$B$20,MATCH(G164,Parámetros!$A$8:$A$20,0)),""))</f>
        <v/>
      </c>
      <c r="K164" s="16" t="n"/>
      <c r="L164" s="16" t="n"/>
      <c r="M164" s="28">
        <f>IF(A164="","",I164*J164-K164+L164)</f>
        <v/>
      </c>
      <c r="N164" s="27">
        <f>IF(A164="","",IFERROR(I164*INDEX(Parámetros!$C$8:$C$20,MATCH(G164,Parámetros!$A$8:$A$20,0)),0))</f>
        <v/>
      </c>
      <c r="O164" s="27">
        <f>IF(A164="","",IFERROR(I164*INDEX(Parámetros!$D$8:$D$20,MATCH(G164,Parámetros!$A$8:$A$20,0)),0))</f>
        <v/>
      </c>
      <c r="P164" s="28">
        <f>IF(A164="","",M164*Parámetros!$B$3+Parámetros!$B$4)</f>
        <v/>
      </c>
      <c r="Q164" s="16" t="n"/>
      <c r="R164" s="28">
        <f>IF(A164="","",M164/1.21-N164-O164-P164-Q164)</f>
        <v/>
      </c>
      <c r="S164" s="29">
        <f>IF(OR(A164="",M164=0),"",R164/(M164/1.21))</f>
        <v/>
      </c>
      <c r="T164" s="25" t="n"/>
      <c r="U164" s="25" t="n"/>
      <c r="V164" s="25" t="n"/>
      <c r="W164" s="25" t="n"/>
      <c r="X164" s="26" t="n"/>
      <c r="Y164" s="26" t="n"/>
      <c r="Z164" s="25" t="n"/>
    </row>
    <row r="165">
      <c r="A165" s="25" t="n"/>
      <c r="B165" s="26" t="n"/>
      <c r="C165" s="25" t="n"/>
      <c r="D165" s="25" t="n"/>
      <c r="E165" s="25" t="n"/>
      <c r="F165" s="25" t="n"/>
      <c r="G165" s="25" t="n"/>
      <c r="H165" s="25" t="n"/>
      <c r="I165" s="25" t="n"/>
      <c r="J165" s="27">
        <f>IF(G165="","",IFERROR(INDEX(Parámetros!$B$8:$B$20,MATCH(G165,Parámetros!$A$8:$A$20,0)),""))</f>
        <v/>
      </c>
      <c r="K165" s="16" t="n"/>
      <c r="L165" s="16" t="n"/>
      <c r="M165" s="28">
        <f>IF(A165="","",I165*J165-K165+L165)</f>
        <v/>
      </c>
      <c r="N165" s="27">
        <f>IF(A165="","",IFERROR(I165*INDEX(Parámetros!$C$8:$C$20,MATCH(G165,Parámetros!$A$8:$A$20,0)),0))</f>
        <v/>
      </c>
      <c r="O165" s="27">
        <f>IF(A165="","",IFERROR(I165*INDEX(Parámetros!$D$8:$D$20,MATCH(G165,Parámetros!$A$8:$A$20,0)),0))</f>
        <v/>
      </c>
      <c r="P165" s="28">
        <f>IF(A165="","",M165*Parámetros!$B$3+Parámetros!$B$4)</f>
        <v/>
      </c>
      <c r="Q165" s="16" t="n"/>
      <c r="R165" s="28">
        <f>IF(A165="","",M165/1.21-N165-O165-P165-Q165)</f>
        <v/>
      </c>
      <c r="S165" s="29">
        <f>IF(OR(A165="",M165=0),"",R165/(M165/1.21))</f>
        <v/>
      </c>
      <c r="T165" s="25" t="n"/>
      <c r="U165" s="25" t="n"/>
      <c r="V165" s="25" t="n"/>
      <c r="W165" s="25" t="n"/>
      <c r="X165" s="26" t="n"/>
      <c r="Y165" s="26" t="n"/>
      <c r="Z165" s="25" t="n"/>
    </row>
    <row r="166">
      <c r="A166" s="25" t="n"/>
      <c r="B166" s="26" t="n"/>
      <c r="C166" s="25" t="n"/>
      <c r="D166" s="25" t="n"/>
      <c r="E166" s="25" t="n"/>
      <c r="F166" s="25" t="n"/>
      <c r="G166" s="25" t="n"/>
      <c r="H166" s="25" t="n"/>
      <c r="I166" s="25" t="n"/>
      <c r="J166" s="27">
        <f>IF(G166="","",IFERROR(INDEX(Parámetros!$B$8:$B$20,MATCH(G166,Parámetros!$A$8:$A$20,0)),""))</f>
        <v/>
      </c>
      <c r="K166" s="16" t="n"/>
      <c r="L166" s="16" t="n"/>
      <c r="M166" s="28">
        <f>IF(A166="","",I166*J166-K166+L166)</f>
        <v/>
      </c>
      <c r="N166" s="27">
        <f>IF(A166="","",IFERROR(I166*INDEX(Parámetros!$C$8:$C$20,MATCH(G166,Parámetros!$A$8:$A$20,0)),0))</f>
        <v/>
      </c>
      <c r="O166" s="27">
        <f>IF(A166="","",IFERROR(I166*INDEX(Parámetros!$D$8:$D$20,MATCH(G166,Parámetros!$A$8:$A$20,0)),0))</f>
        <v/>
      </c>
      <c r="P166" s="28">
        <f>IF(A166="","",M166*Parámetros!$B$3+Parámetros!$B$4)</f>
        <v/>
      </c>
      <c r="Q166" s="16" t="n"/>
      <c r="R166" s="28">
        <f>IF(A166="","",M166/1.21-N166-O166-P166-Q166)</f>
        <v/>
      </c>
      <c r="S166" s="29">
        <f>IF(OR(A166="",M166=0),"",R166/(M166/1.21))</f>
        <v/>
      </c>
      <c r="T166" s="25" t="n"/>
      <c r="U166" s="25" t="n"/>
      <c r="V166" s="25" t="n"/>
      <c r="W166" s="25" t="n"/>
      <c r="X166" s="26" t="n"/>
      <c r="Y166" s="26" t="n"/>
      <c r="Z166" s="25" t="n"/>
    </row>
    <row r="167">
      <c r="A167" s="25" t="n"/>
      <c r="B167" s="26" t="n"/>
      <c r="C167" s="25" t="n"/>
      <c r="D167" s="25" t="n"/>
      <c r="E167" s="25" t="n"/>
      <c r="F167" s="25" t="n"/>
      <c r="G167" s="25" t="n"/>
      <c r="H167" s="25" t="n"/>
      <c r="I167" s="25" t="n"/>
      <c r="J167" s="27">
        <f>IF(G167="","",IFERROR(INDEX(Parámetros!$B$8:$B$20,MATCH(G167,Parámetros!$A$8:$A$20,0)),""))</f>
        <v/>
      </c>
      <c r="K167" s="16" t="n"/>
      <c r="L167" s="16" t="n"/>
      <c r="M167" s="28">
        <f>IF(A167="","",I167*J167-K167+L167)</f>
        <v/>
      </c>
      <c r="N167" s="27">
        <f>IF(A167="","",IFERROR(I167*INDEX(Parámetros!$C$8:$C$20,MATCH(G167,Parámetros!$A$8:$A$20,0)),0))</f>
        <v/>
      </c>
      <c r="O167" s="27">
        <f>IF(A167="","",IFERROR(I167*INDEX(Parámetros!$D$8:$D$20,MATCH(G167,Parámetros!$A$8:$A$20,0)),0))</f>
        <v/>
      </c>
      <c r="P167" s="28">
        <f>IF(A167="","",M167*Parámetros!$B$3+Parámetros!$B$4)</f>
        <v/>
      </c>
      <c r="Q167" s="16" t="n"/>
      <c r="R167" s="28">
        <f>IF(A167="","",M167/1.21-N167-O167-P167-Q167)</f>
        <v/>
      </c>
      <c r="S167" s="29">
        <f>IF(OR(A167="",M167=0),"",R167/(M167/1.21))</f>
        <v/>
      </c>
      <c r="T167" s="25" t="n"/>
      <c r="U167" s="25" t="n"/>
      <c r="V167" s="25" t="n"/>
      <c r="W167" s="25" t="n"/>
      <c r="X167" s="26" t="n"/>
      <c r="Y167" s="26" t="n"/>
      <c r="Z167" s="25" t="n"/>
    </row>
    <row r="168">
      <c r="A168" s="25" t="n"/>
      <c r="B168" s="26" t="n"/>
      <c r="C168" s="25" t="n"/>
      <c r="D168" s="25" t="n"/>
      <c r="E168" s="25" t="n"/>
      <c r="F168" s="25" t="n"/>
      <c r="G168" s="25" t="n"/>
      <c r="H168" s="25" t="n"/>
      <c r="I168" s="25" t="n"/>
      <c r="J168" s="27">
        <f>IF(G168="","",IFERROR(INDEX(Parámetros!$B$8:$B$20,MATCH(G168,Parámetros!$A$8:$A$20,0)),""))</f>
        <v/>
      </c>
      <c r="K168" s="16" t="n"/>
      <c r="L168" s="16" t="n"/>
      <c r="M168" s="28">
        <f>IF(A168="","",I168*J168-K168+L168)</f>
        <v/>
      </c>
      <c r="N168" s="27">
        <f>IF(A168="","",IFERROR(I168*INDEX(Parámetros!$C$8:$C$20,MATCH(G168,Parámetros!$A$8:$A$20,0)),0))</f>
        <v/>
      </c>
      <c r="O168" s="27">
        <f>IF(A168="","",IFERROR(I168*INDEX(Parámetros!$D$8:$D$20,MATCH(G168,Parámetros!$A$8:$A$20,0)),0))</f>
        <v/>
      </c>
      <c r="P168" s="28">
        <f>IF(A168="","",M168*Parámetros!$B$3+Parámetros!$B$4)</f>
        <v/>
      </c>
      <c r="Q168" s="16" t="n"/>
      <c r="R168" s="28">
        <f>IF(A168="","",M168/1.21-N168-O168-P168-Q168)</f>
        <v/>
      </c>
      <c r="S168" s="29">
        <f>IF(OR(A168="",M168=0),"",R168/(M168/1.21))</f>
        <v/>
      </c>
      <c r="T168" s="25" t="n"/>
      <c r="U168" s="25" t="n"/>
      <c r="V168" s="25" t="n"/>
      <c r="W168" s="25" t="n"/>
      <c r="X168" s="26" t="n"/>
      <c r="Y168" s="26" t="n"/>
      <c r="Z168" s="25" t="n"/>
    </row>
    <row r="169">
      <c r="A169" s="25" t="n"/>
      <c r="B169" s="26" t="n"/>
      <c r="C169" s="25" t="n"/>
      <c r="D169" s="25" t="n"/>
      <c r="E169" s="25" t="n"/>
      <c r="F169" s="25" t="n"/>
      <c r="G169" s="25" t="n"/>
      <c r="H169" s="25" t="n"/>
      <c r="I169" s="25" t="n"/>
      <c r="J169" s="27">
        <f>IF(G169="","",IFERROR(INDEX(Parámetros!$B$8:$B$20,MATCH(G169,Parámetros!$A$8:$A$20,0)),""))</f>
        <v/>
      </c>
      <c r="K169" s="16" t="n"/>
      <c r="L169" s="16" t="n"/>
      <c r="M169" s="28">
        <f>IF(A169="","",I169*J169-K169+L169)</f>
        <v/>
      </c>
      <c r="N169" s="27">
        <f>IF(A169="","",IFERROR(I169*INDEX(Parámetros!$C$8:$C$20,MATCH(G169,Parámetros!$A$8:$A$20,0)),0))</f>
        <v/>
      </c>
      <c r="O169" s="27">
        <f>IF(A169="","",IFERROR(I169*INDEX(Parámetros!$D$8:$D$20,MATCH(G169,Parámetros!$A$8:$A$20,0)),0))</f>
        <v/>
      </c>
      <c r="P169" s="28">
        <f>IF(A169="","",M169*Parámetros!$B$3+Parámetros!$B$4)</f>
        <v/>
      </c>
      <c r="Q169" s="16" t="n"/>
      <c r="R169" s="28">
        <f>IF(A169="","",M169/1.21-N169-O169-P169-Q169)</f>
        <v/>
      </c>
      <c r="S169" s="29">
        <f>IF(OR(A169="",M169=0),"",R169/(M169/1.21))</f>
        <v/>
      </c>
      <c r="T169" s="25" t="n"/>
      <c r="U169" s="25" t="n"/>
      <c r="V169" s="25" t="n"/>
      <c r="W169" s="25" t="n"/>
      <c r="X169" s="26" t="n"/>
      <c r="Y169" s="26" t="n"/>
      <c r="Z169" s="25" t="n"/>
    </row>
    <row r="170">
      <c r="A170" s="25" t="n"/>
      <c r="B170" s="26" t="n"/>
      <c r="C170" s="25" t="n"/>
      <c r="D170" s="25" t="n"/>
      <c r="E170" s="25" t="n"/>
      <c r="F170" s="25" t="n"/>
      <c r="G170" s="25" t="n"/>
      <c r="H170" s="25" t="n"/>
      <c r="I170" s="25" t="n"/>
      <c r="J170" s="27">
        <f>IF(G170="","",IFERROR(INDEX(Parámetros!$B$8:$B$20,MATCH(G170,Parámetros!$A$8:$A$20,0)),""))</f>
        <v/>
      </c>
      <c r="K170" s="16" t="n"/>
      <c r="L170" s="16" t="n"/>
      <c r="M170" s="28">
        <f>IF(A170="","",I170*J170-K170+L170)</f>
        <v/>
      </c>
      <c r="N170" s="27">
        <f>IF(A170="","",IFERROR(I170*INDEX(Parámetros!$C$8:$C$20,MATCH(G170,Parámetros!$A$8:$A$20,0)),0))</f>
        <v/>
      </c>
      <c r="O170" s="27">
        <f>IF(A170="","",IFERROR(I170*INDEX(Parámetros!$D$8:$D$20,MATCH(G170,Parámetros!$A$8:$A$20,0)),0))</f>
        <v/>
      </c>
      <c r="P170" s="28">
        <f>IF(A170="","",M170*Parámetros!$B$3+Parámetros!$B$4)</f>
        <v/>
      </c>
      <c r="Q170" s="16" t="n"/>
      <c r="R170" s="28">
        <f>IF(A170="","",M170/1.21-N170-O170-P170-Q170)</f>
        <v/>
      </c>
      <c r="S170" s="29">
        <f>IF(OR(A170="",M170=0),"",R170/(M170/1.21))</f>
        <v/>
      </c>
      <c r="T170" s="25" t="n"/>
      <c r="U170" s="25" t="n"/>
      <c r="V170" s="25" t="n"/>
      <c r="W170" s="25" t="n"/>
      <c r="X170" s="26" t="n"/>
      <c r="Y170" s="26" t="n"/>
      <c r="Z170" s="25" t="n"/>
    </row>
    <row r="171">
      <c r="A171" s="25" t="n"/>
      <c r="B171" s="26" t="n"/>
      <c r="C171" s="25" t="n"/>
      <c r="D171" s="25" t="n"/>
      <c r="E171" s="25" t="n"/>
      <c r="F171" s="25" t="n"/>
      <c r="G171" s="25" t="n"/>
      <c r="H171" s="25" t="n"/>
      <c r="I171" s="25" t="n"/>
      <c r="J171" s="27">
        <f>IF(G171="","",IFERROR(INDEX(Parámetros!$B$8:$B$20,MATCH(G171,Parámetros!$A$8:$A$20,0)),""))</f>
        <v/>
      </c>
      <c r="K171" s="16" t="n"/>
      <c r="L171" s="16" t="n"/>
      <c r="M171" s="28">
        <f>IF(A171="","",I171*J171-K171+L171)</f>
        <v/>
      </c>
      <c r="N171" s="27">
        <f>IF(A171="","",IFERROR(I171*INDEX(Parámetros!$C$8:$C$20,MATCH(G171,Parámetros!$A$8:$A$20,0)),0))</f>
        <v/>
      </c>
      <c r="O171" s="27">
        <f>IF(A171="","",IFERROR(I171*INDEX(Parámetros!$D$8:$D$20,MATCH(G171,Parámetros!$A$8:$A$20,0)),0))</f>
        <v/>
      </c>
      <c r="P171" s="28">
        <f>IF(A171="","",M171*Parámetros!$B$3+Parámetros!$B$4)</f>
        <v/>
      </c>
      <c r="Q171" s="16" t="n"/>
      <c r="R171" s="28">
        <f>IF(A171="","",M171/1.21-N171-O171-P171-Q171)</f>
        <v/>
      </c>
      <c r="S171" s="29">
        <f>IF(OR(A171="",M171=0),"",R171/(M171/1.21))</f>
        <v/>
      </c>
      <c r="T171" s="25" t="n"/>
      <c r="U171" s="25" t="n"/>
      <c r="V171" s="25" t="n"/>
      <c r="W171" s="25" t="n"/>
      <c r="X171" s="26" t="n"/>
      <c r="Y171" s="26" t="n"/>
      <c r="Z171" s="25" t="n"/>
    </row>
    <row r="172">
      <c r="A172" s="25" t="n"/>
      <c r="B172" s="26" t="n"/>
      <c r="C172" s="25" t="n"/>
      <c r="D172" s="25" t="n"/>
      <c r="E172" s="25" t="n"/>
      <c r="F172" s="25" t="n"/>
      <c r="G172" s="25" t="n"/>
      <c r="H172" s="25" t="n"/>
      <c r="I172" s="25" t="n"/>
      <c r="J172" s="27">
        <f>IF(G172="","",IFERROR(INDEX(Parámetros!$B$8:$B$20,MATCH(G172,Parámetros!$A$8:$A$20,0)),""))</f>
        <v/>
      </c>
      <c r="K172" s="16" t="n"/>
      <c r="L172" s="16" t="n"/>
      <c r="M172" s="28">
        <f>IF(A172="","",I172*J172-K172+L172)</f>
        <v/>
      </c>
      <c r="N172" s="27">
        <f>IF(A172="","",IFERROR(I172*INDEX(Parámetros!$C$8:$C$20,MATCH(G172,Parámetros!$A$8:$A$20,0)),0))</f>
        <v/>
      </c>
      <c r="O172" s="27">
        <f>IF(A172="","",IFERROR(I172*INDEX(Parámetros!$D$8:$D$20,MATCH(G172,Parámetros!$A$8:$A$20,0)),0))</f>
        <v/>
      </c>
      <c r="P172" s="28">
        <f>IF(A172="","",M172*Parámetros!$B$3+Parámetros!$B$4)</f>
        <v/>
      </c>
      <c r="Q172" s="16" t="n"/>
      <c r="R172" s="28">
        <f>IF(A172="","",M172/1.21-N172-O172-P172-Q172)</f>
        <v/>
      </c>
      <c r="S172" s="29">
        <f>IF(OR(A172="",M172=0),"",R172/(M172/1.21))</f>
        <v/>
      </c>
      <c r="T172" s="25" t="n"/>
      <c r="U172" s="25" t="n"/>
      <c r="V172" s="25" t="n"/>
      <c r="W172" s="25" t="n"/>
      <c r="X172" s="26" t="n"/>
      <c r="Y172" s="26" t="n"/>
      <c r="Z172" s="25" t="n"/>
    </row>
    <row r="173">
      <c r="A173" s="25" t="n"/>
      <c r="B173" s="26" t="n"/>
      <c r="C173" s="25" t="n"/>
      <c r="D173" s="25" t="n"/>
      <c r="E173" s="25" t="n"/>
      <c r="F173" s="25" t="n"/>
      <c r="G173" s="25" t="n"/>
      <c r="H173" s="25" t="n"/>
      <c r="I173" s="25" t="n"/>
      <c r="J173" s="27">
        <f>IF(G173="","",IFERROR(INDEX(Parámetros!$B$8:$B$20,MATCH(G173,Parámetros!$A$8:$A$20,0)),""))</f>
        <v/>
      </c>
      <c r="K173" s="16" t="n"/>
      <c r="L173" s="16" t="n"/>
      <c r="M173" s="28">
        <f>IF(A173="","",I173*J173-K173+L173)</f>
        <v/>
      </c>
      <c r="N173" s="27">
        <f>IF(A173="","",IFERROR(I173*INDEX(Parámetros!$C$8:$C$20,MATCH(G173,Parámetros!$A$8:$A$20,0)),0))</f>
        <v/>
      </c>
      <c r="O173" s="27">
        <f>IF(A173="","",IFERROR(I173*INDEX(Parámetros!$D$8:$D$20,MATCH(G173,Parámetros!$A$8:$A$20,0)),0))</f>
        <v/>
      </c>
      <c r="P173" s="28">
        <f>IF(A173="","",M173*Parámetros!$B$3+Parámetros!$B$4)</f>
        <v/>
      </c>
      <c r="Q173" s="16" t="n"/>
      <c r="R173" s="28">
        <f>IF(A173="","",M173/1.21-N173-O173-P173-Q173)</f>
        <v/>
      </c>
      <c r="S173" s="29">
        <f>IF(OR(A173="",M173=0),"",R173/(M173/1.21))</f>
        <v/>
      </c>
      <c r="T173" s="25" t="n"/>
      <c r="U173" s="25" t="n"/>
      <c r="V173" s="25" t="n"/>
      <c r="W173" s="25" t="n"/>
      <c r="X173" s="26" t="n"/>
      <c r="Y173" s="26" t="n"/>
      <c r="Z173" s="25" t="n"/>
    </row>
    <row r="174">
      <c r="A174" s="25" t="n"/>
      <c r="B174" s="26" t="n"/>
      <c r="C174" s="25" t="n"/>
      <c r="D174" s="25" t="n"/>
      <c r="E174" s="25" t="n"/>
      <c r="F174" s="25" t="n"/>
      <c r="G174" s="25" t="n"/>
      <c r="H174" s="25" t="n"/>
      <c r="I174" s="25" t="n"/>
      <c r="J174" s="27">
        <f>IF(G174="","",IFERROR(INDEX(Parámetros!$B$8:$B$20,MATCH(G174,Parámetros!$A$8:$A$20,0)),""))</f>
        <v/>
      </c>
      <c r="K174" s="16" t="n"/>
      <c r="L174" s="16" t="n"/>
      <c r="M174" s="28">
        <f>IF(A174="","",I174*J174-K174+L174)</f>
        <v/>
      </c>
      <c r="N174" s="27">
        <f>IF(A174="","",IFERROR(I174*INDEX(Parámetros!$C$8:$C$20,MATCH(G174,Parámetros!$A$8:$A$20,0)),0))</f>
        <v/>
      </c>
      <c r="O174" s="27">
        <f>IF(A174="","",IFERROR(I174*INDEX(Parámetros!$D$8:$D$20,MATCH(G174,Parámetros!$A$8:$A$20,0)),0))</f>
        <v/>
      </c>
      <c r="P174" s="28">
        <f>IF(A174="","",M174*Parámetros!$B$3+Parámetros!$B$4)</f>
        <v/>
      </c>
      <c r="Q174" s="16" t="n"/>
      <c r="R174" s="28">
        <f>IF(A174="","",M174/1.21-N174-O174-P174-Q174)</f>
        <v/>
      </c>
      <c r="S174" s="29">
        <f>IF(OR(A174="",M174=0),"",R174/(M174/1.21))</f>
        <v/>
      </c>
      <c r="T174" s="25" t="n"/>
      <c r="U174" s="25" t="n"/>
      <c r="V174" s="25" t="n"/>
      <c r="W174" s="25" t="n"/>
      <c r="X174" s="26" t="n"/>
      <c r="Y174" s="26" t="n"/>
      <c r="Z174" s="25" t="n"/>
    </row>
    <row r="175">
      <c r="A175" s="25" t="n"/>
      <c r="B175" s="26" t="n"/>
      <c r="C175" s="25" t="n"/>
      <c r="D175" s="25" t="n"/>
      <c r="E175" s="25" t="n"/>
      <c r="F175" s="25" t="n"/>
      <c r="G175" s="25" t="n"/>
      <c r="H175" s="25" t="n"/>
      <c r="I175" s="25" t="n"/>
      <c r="J175" s="27">
        <f>IF(G175="","",IFERROR(INDEX(Parámetros!$B$8:$B$20,MATCH(G175,Parámetros!$A$8:$A$20,0)),""))</f>
        <v/>
      </c>
      <c r="K175" s="16" t="n"/>
      <c r="L175" s="16" t="n"/>
      <c r="M175" s="28">
        <f>IF(A175="","",I175*J175-K175+L175)</f>
        <v/>
      </c>
      <c r="N175" s="27">
        <f>IF(A175="","",IFERROR(I175*INDEX(Parámetros!$C$8:$C$20,MATCH(G175,Parámetros!$A$8:$A$20,0)),0))</f>
        <v/>
      </c>
      <c r="O175" s="27">
        <f>IF(A175="","",IFERROR(I175*INDEX(Parámetros!$D$8:$D$20,MATCH(G175,Parámetros!$A$8:$A$20,0)),0))</f>
        <v/>
      </c>
      <c r="P175" s="28">
        <f>IF(A175="","",M175*Parámetros!$B$3+Parámetros!$B$4)</f>
        <v/>
      </c>
      <c r="Q175" s="16" t="n"/>
      <c r="R175" s="28">
        <f>IF(A175="","",M175/1.21-N175-O175-P175-Q175)</f>
        <v/>
      </c>
      <c r="S175" s="29">
        <f>IF(OR(A175="",M175=0),"",R175/(M175/1.21))</f>
        <v/>
      </c>
      <c r="T175" s="25" t="n"/>
      <c r="U175" s="25" t="n"/>
      <c r="V175" s="25" t="n"/>
      <c r="W175" s="25" t="n"/>
      <c r="X175" s="26" t="n"/>
      <c r="Y175" s="26" t="n"/>
      <c r="Z175" s="25" t="n"/>
    </row>
    <row r="176">
      <c r="A176" s="25" t="n"/>
      <c r="B176" s="26" t="n"/>
      <c r="C176" s="25" t="n"/>
      <c r="D176" s="25" t="n"/>
      <c r="E176" s="25" t="n"/>
      <c r="F176" s="25" t="n"/>
      <c r="G176" s="25" t="n"/>
      <c r="H176" s="25" t="n"/>
      <c r="I176" s="25" t="n"/>
      <c r="J176" s="27">
        <f>IF(G176="","",IFERROR(INDEX(Parámetros!$B$8:$B$20,MATCH(G176,Parámetros!$A$8:$A$20,0)),""))</f>
        <v/>
      </c>
      <c r="K176" s="16" t="n"/>
      <c r="L176" s="16" t="n"/>
      <c r="M176" s="28">
        <f>IF(A176="","",I176*J176-K176+L176)</f>
        <v/>
      </c>
      <c r="N176" s="27">
        <f>IF(A176="","",IFERROR(I176*INDEX(Parámetros!$C$8:$C$20,MATCH(G176,Parámetros!$A$8:$A$20,0)),0))</f>
        <v/>
      </c>
      <c r="O176" s="27">
        <f>IF(A176="","",IFERROR(I176*INDEX(Parámetros!$D$8:$D$20,MATCH(G176,Parámetros!$A$8:$A$20,0)),0))</f>
        <v/>
      </c>
      <c r="P176" s="28">
        <f>IF(A176="","",M176*Parámetros!$B$3+Parámetros!$B$4)</f>
        <v/>
      </c>
      <c r="Q176" s="16" t="n"/>
      <c r="R176" s="28">
        <f>IF(A176="","",M176/1.21-N176-O176-P176-Q176)</f>
        <v/>
      </c>
      <c r="S176" s="29">
        <f>IF(OR(A176="",M176=0),"",R176/(M176/1.21))</f>
        <v/>
      </c>
      <c r="T176" s="25" t="n"/>
      <c r="U176" s="25" t="n"/>
      <c r="V176" s="25" t="n"/>
      <c r="W176" s="25" t="n"/>
      <c r="X176" s="26" t="n"/>
      <c r="Y176" s="26" t="n"/>
      <c r="Z176" s="25" t="n"/>
    </row>
    <row r="177">
      <c r="A177" s="25" t="n"/>
      <c r="B177" s="26" t="n"/>
      <c r="C177" s="25" t="n"/>
      <c r="D177" s="25" t="n"/>
      <c r="E177" s="25" t="n"/>
      <c r="F177" s="25" t="n"/>
      <c r="G177" s="25" t="n"/>
      <c r="H177" s="25" t="n"/>
      <c r="I177" s="25" t="n"/>
      <c r="J177" s="27">
        <f>IF(G177="","",IFERROR(INDEX(Parámetros!$B$8:$B$20,MATCH(G177,Parámetros!$A$8:$A$20,0)),""))</f>
        <v/>
      </c>
      <c r="K177" s="16" t="n"/>
      <c r="L177" s="16" t="n"/>
      <c r="M177" s="28">
        <f>IF(A177="","",I177*J177-K177+L177)</f>
        <v/>
      </c>
      <c r="N177" s="27">
        <f>IF(A177="","",IFERROR(I177*INDEX(Parámetros!$C$8:$C$20,MATCH(G177,Parámetros!$A$8:$A$20,0)),0))</f>
        <v/>
      </c>
      <c r="O177" s="27">
        <f>IF(A177="","",IFERROR(I177*INDEX(Parámetros!$D$8:$D$20,MATCH(G177,Parámetros!$A$8:$A$20,0)),0))</f>
        <v/>
      </c>
      <c r="P177" s="28">
        <f>IF(A177="","",M177*Parámetros!$B$3+Parámetros!$B$4)</f>
        <v/>
      </c>
      <c r="Q177" s="16" t="n"/>
      <c r="R177" s="28">
        <f>IF(A177="","",M177/1.21-N177-O177-P177-Q177)</f>
        <v/>
      </c>
      <c r="S177" s="29">
        <f>IF(OR(A177="",M177=0),"",R177/(M177/1.21))</f>
        <v/>
      </c>
      <c r="T177" s="25" t="n"/>
      <c r="U177" s="25" t="n"/>
      <c r="V177" s="25" t="n"/>
      <c r="W177" s="25" t="n"/>
      <c r="X177" s="26" t="n"/>
      <c r="Y177" s="26" t="n"/>
      <c r="Z177" s="25" t="n"/>
    </row>
    <row r="178">
      <c r="A178" s="25" t="n"/>
      <c r="B178" s="26" t="n"/>
      <c r="C178" s="25" t="n"/>
      <c r="D178" s="25" t="n"/>
      <c r="E178" s="25" t="n"/>
      <c r="F178" s="25" t="n"/>
      <c r="G178" s="25" t="n"/>
      <c r="H178" s="25" t="n"/>
      <c r="I178" s="25" t="n"/>
      <c r="J178" s="27">
        <f>IF(G178="","",IFERROR(INDEX(Parámetros!$B$8:$B$20,MATCH(G178,Parámetros!$A$8:$A$20,0)),""))</f>
        <v/>
      </c>
      <c r="K178" s="16" t="n"/>
      <c r="L178" s="16" t="n"/>
      <c r="M178" s="28">
        <f>IF(A178="","",I178*J178-K178+L178)</f>
        <v/>
      </c>
      <c r="N178" s="27">
        <f>IF(A178="","",IFERROR(I178*INDEX(Parámetros!$C$8:$C$20,MATCH(G178,Parámetros!$A$8:$A$20,0)),0))</f>
        <v/>
      </c>
      <c r="O178" s="27">
        <f>IF(A178="","",IFERROR(I178*INDEX(Parámetros!$D$8:$D$20,MATCH(G178,Parámetros!$A$8:$A$20,0)),0))</f>
        <v/>
      </c>
      <c r="P178" s="28">
        <f>IF(A178="","",M178*Parámetros!$B$3+Parámetros!$B$4)</f>
        <v/>
      </c>
      <c r="Q178" s="16" t="n"/>
      <c r="R178" s="28">
        <f>IF(A178="","",M178/1.21-N178-O178-P178-Q178)</f>
        <v/>
      </c>
      <c r="S178" s="29">
        <f>IF(OR(A178="",M178=0),"",R178/(M178/1.21))</f>
        <v/>
      </c>
      <c r="T178" s="25" t="n"/>
      <c r="U178" s="25" t="n"/>
      <c r="V178" s="25" t="n"/>
      <c r="W178" s="25" t="n"/>
      <c r="X178" s="26" t="n"/>
      <c r="Y178" s="26" t="n"/>
      <c r="Z178" s="25" t="n"/>
    </row>
    <row r="179">
      <c r="A179" s="25" t="n"/>
      <c r="B179" s="26" t="n"/>
      <c r="C179" s="25" t="n"/>
      <c r="D179" s="25" t="n"/>
      <c r="E179" s="25" t="n"/>
      <c r="F179" s="25" t="n"/>
      <c r="G179" s="25" t="n"/>
      <c r="H179" s="25" t="n"/>
      <c r="I179" s="25" t="n"/>
      <c r="J179" s="27">
        <f>IF(G179="","",IFERROR(INDEX(Parámetros!$B$8:$B$20,MATCH(G179,Parámetros!$A$8:$A$20,0)),""))</f>
        <v/>
      </c>
      <c r="K179" s="16" t="n"/>
      <c r="L179" s="16" t="n"/>
      <c r="M179" s="28">
        <f>IF(A179="","",I179*J179-K179+L179)</f>
        <v/>
      </c>
      <c r="N179" s="27">
        <f>IF(A179="","",IFERROR(I179*INDEX(Parámetros!$C$8:$C$20,MATCH(G179,Parámetros!$A$8:$A$20,0)),0))</f>
        <v/>
      </c>
      <c r="O179" s="27">
        <f>IF(A179="","",IFERROR(I179*INDEX(Parámetros!$D$8:$D$20,MATCH(G179,Parámetros!$A$8:$A$20,0)),0))</f>
        <v/>
      </c>
      <c r="P179" s="28">
        <f>IF(A179="","",M179*Parámetros!$B$3+Parámetros!$B$4)</f>
        <v/>
      </c>
      <c r="Q179" s="16" t="n"/>
      <c r="R179" s="28">
        <f>IF(A179="","",M179/1.21-N179-O179-P179-Q179)</f>
        <v/>
      </c>
      <c r="S179" s="29">
        <f>IF(OR(A179="",M179=0),"",R179/(M179/1.21))</f>
        <v/>
      </c>
      <c r="T179" s="25" t="n"/>
      <c r="U179" s="25" t="n"/>
      <c r="V179" s="25" t="n"/>
      <c r="W179" s="25" t="n"/>
      <c r="X179" s="26" t="n"/>
      <c r="Y179" s="26" t="n"/>
      <c r="Z179" s="25" t="n"/>
    </row>
    <row r="180">
      <c r="A180" s="25" t="n"/>
      <c r="B180" s="26" t="n"/>
      <c r="C180" s="25" t="n"/>
      <c r="D180" s="25" t="n"/>
      <c r="E180" s="25" t="n"/>
      <c r="F180" s="25" t="n"/>
      <c r="G180" s="25" t="n"/>
      <c r="H180" s="25" t="n"/>
      <c r="I180" s="25" t="n"/>
      <c r="J180" s="27">
        <f>IF(G180="","",IFERROR(INDEX(Parámetros!$B$8:$B$20,MATCH(G180,Parámetros!$A$8:$A$20,0)),""))</f>
        <v/>
      </c>
      <c r="K180" s="16" t="n"/>
      <c r="L180" s="16" t="n"/>
      <c r="M180" s="28">
        <f>IF(A180="","",I180*J180-K180+L180)</f>
        <v/>
      </c>
      <c r="N180" s="27">
        <f>IF(A180="","",IFERROR(I180*INDEX(Parámetros!$C$8:$C$20,MATCH(G180,Parámetros!$A$8:$A$20,0)),0))</f>
        <v/>
      </c>
      <c r="O180" s="27">
        <f>IF(A180="","",IFERROR(I180*INDEX(Parámetros!$D$8:$D$20,MATCH(G180,Parámetros!$A$8:$A$20,0)),0))</f>
        <v/>
      </c>
      <c r="P180" s="28">
        <f>IF(A180="","",M180*Parámetros!$B$3+Parámetros!$B$4)</f>
        <v/>
      </c>
      <c r="Q180" s="16" t="n"/>
      <c r="R180" s="28">
        <f>IF(A180="","",M180/1.21-N180-O180-P180-Q180)</f>
        <v/>
      </c>
      <c r="S180" s="29">
        <f>IF(OR(A180="",M180=0),"",R180/(M180/1.21))</f>
        <v/>
      </c>
      <c r="T180" s="25" t="n"/>
      <c r="U180" s="25" t="n"/>
      <c r="V180" s="25" t="n"/>
      <c r="W180" s="25" t="n"/>
      <c r="X180" s="26" t="n"/>
      <c r="Y180" s="26" t="n"/>
      <c r="Z180" s="25" t="n"/>
    </row>
    <row r="181">
      <c r="A181" s="25" t="n"/>
      <c r="B181" s="26" t="n"/>
      <c r="C181" s="25" t="n"/>
      <c r="D181" s="25" t="n"/>
      <c r="E181" s="25" t="n"/>
      <c r="F181" s="25" t="n"/>
      <c r="G181" s="25" t="n"/>
      <c r="H181" s="25" t="n"/>
      <c r="I181" s="25" t="n"/>
      <c r="J181" s="27">
        <f>IF(G181="","",IFERROR(INDEX(Parámetros!$B$8:$B$20,MATCH(G181,Parámetros!$A$8:$A$20,0)),""))</f>
        <v/>
      </c>
      <c r="K181" s="16" t="n"/>
      <c r="L181" s="16" t="n"/>
      <c r="M181" s="28">
        <f>IF(A181="","",I181*J181-K181+L181)</f>
        <v/>
      </c>
      <c r="N181" s="27">
        <f>IF(A181="","",IFERROR(I181*INDEX(Parámetros!$C$8:$C$20,MATCH(G181,Parámetros!$A$8:$A$20,0)),0))</f>
        <v/>
      </c>
      <c r="O181" s="27">
        <f>IF(A181="","",IFERROR(I181*INDEX(Parámetros!$D$8:$D$20,MATCH(G181,Parámetros!$A$8:$A$20,0)),0))</f>
        <v/>
      </c>
      <c r="P181" s="28">
        <f>IF(A181="","",M181*Parámetros!$B$3+Parámetros!$B$4)</f>
        <v/>
      </c>
      <c r="Q181" s="16" t="n"/>
      <c r="R181" s="28">
        <f>IF(A181="","",M181/1.21-N181-O181-P181-Q181)</f>
        <v/>
      </c>
      <c r="S181" s="29">
        <f>IF(OR(A181="",M181=0),"",R181/(M181/1.21))</f>
        <v/>
      </c>
      <c r="T181" s="25" t="n"/>
      <c r="U181" s="25" t="n"/>
      <c r="V181" s="25" t="n"/>
      <c r="W181" s="25" t="n"/>
      <c r="X181" s="26" t="n"/>
      <c r="Y181" s="26" t="n"/>
      <c r="Z181" s="25" t="n"/>
    </row>
    <row r="182">
      <c r="A182" s="25" t="n"/>
      <c r="B182" s="26" t="n"/>
      <c r="C182" s="25" t="n"/>
      <c r="D182" s="25" t="n"/>
      <c r="E182" s="25" t="n"/>
      <c r="F182" s="25" t="n"/>
      <c r="G182" s="25" t="n"/>
      <c r="H182" s="25" t="n"/>
      <c r="I182" s="25" t="n"/>
      <c r="J182" s="27">
        <f>IF(G182="","",IFERROR(INDEX(Parámetros!$B$8:$B$20,MATCH(G182,Parámetros!$A$8:$A$20,0)),""))</f>
        <v/>
      </c>
      <c r="K182" s="16" t="n"/>
      <c r="L182" s="16" t="n"/>
      <c r="M182" s="28">
        <f>IF(A182="","",I182*J182-K182+L182)</f>
        <v/>
      </c>
      <c r="N182" s="27">
        <f>IF(A182="","",IFERROR(I182*INDEX(Parámetros!$C$8:$C$20,MATCH(G182,Parámetros!$A$8:$A$20,0)),0))</f>
        <v/>
      </c>
      <c r="O182" s="27">
        <f>IF(A182="","",IFERROR(I182*INDEX(Parámetros!$D$8:$D$20,MATCH(G182,Parámetros!$A$8:$A$20,0)),0))</f>
        <v/>
      </c>
      <c r="P182" s="28">
        <f>IF(A182="","",M182*Parámetros!$B$3+Parámetros!$B$4)</f>
        <v/>
      </c>
      <c r="Q182" s="16" t="n"/>
      <c r="R182" s="28">
        <f>IF(A182="","",M182/1.21-N182-O182-P182-Q182)</f>
        <v/>
      </c>
      <c r="S182" s="29">
        <f>IF(OR(A182="",M182=0),"",R182/(M182/1.21))</f>
        <v/>
      </c>
      <c r="T182" s="25" t="n"/>
      <c r="U182" s="25" t="n"/>
      <c r="V182" s="25" t="n"/>
      <c r="W182" s="25" t="n"/>
      <c r="X182" s="26" t="n"/>
      <c r="Y182" s="26" t="n"/>
      <c r="Z182" s="25" t="n"/>
    </row>
    <row r="183">
      <c r="A183" s="25" t="n"/>
      <c r="B183" s="26" t="n"/>
      <c r="C183" s="25" t="n"/>
      <c r="D183" s="25" t="n"/>
      <c r="E183" s="25" t="n"/>
      <c r="F183" s="25" t="n"/>
      <c r="G183" s="25" t="n"/>
      <c r="H183" s="25" t="n"/>
      <c r="I183" s="25" t="n"/>
      <c r="J183" s="27">
        <f>IF(G183="","",IFERROR(INDEX(Parámetros!$B$8:$B$20,MATCH(G183,Parámetros!$A$8:$A$20,0)),""))</f>
        <v/>
      </c>
      <c r="K183" s="16" t="n"/>
      <c r="L183" s="16" t="n"/>
      <c r="M183" s="28">
        <f>IF(A183="","",I183*J183-K183+L183)</f>
        <v/>
      </c>
      <c r="N183" s="27">
        <f>IF(A183="","",IFERROR(I183*INDEX(Parámetros!$C$8:$C$20,MATCH(G183,Parámetros!$A$8:$A$20,0)),0))</f>
        <v/>
      </c>
      <c r="O183" s="27">
        <f>IF(A183="","",IFERROR(I183*INDEX(Parámetros!$D$8:$D$20,MATCH(G183,Parámetros!$A$8:$A$20,0)),0))</f>
        <v/>
      </c>
      <c r="P183" s="28">
        <f>IF(A183="","",M183*Parámetros!$B$3+Parámetros!$B$4)</f>
        <v/>
      </c>
      <c r="Q183" s="16" t="n"/>
      <c r="R183" s="28">
        <f>IF(A183="","",M183/1.21-N183-O183-P183-Q183)</f>
        <v/>
      </c>
      <c r="S183" s="29">
        <f>IF(OR(A183="",M183=0),"",R183/(M183/1.21))</f>
        <v/>
      </c>
      <c r="T183" s="25" t="n"/>
      <c r="U183" s="25" t="n"/>
      <c r="V183" s="25" t="n"/>
      <c r="W183" s="25" t="n"/>
      <c r="X183" s="26" t="n"/>
      <c r="Y183" s="26" t="n"/>
      <c r="Z183" s="25" t="n"/>
    </row>
    <row r="184">
      <c r="A184" s="25" t="n"/>
      <c r="B184" s="26" t="n"/>
      <c r="C184" s="25" t="n"/>
      <c r="D184" s="25" t="n"/>
      <c r="E184" s="25" t="n"/>
      <c r="F184" s="25" t="n"/>
      <c r="G184" s="25" t="n"/>
      <c r="H184" s="25" t="n"/>
      <c r="I184" s="25" t="n"/>
      <c r="J184" s="27">
        <f>IF(G184="","",IFERROR(INDEX(Parámetros!$B$8:$B$20,MATCH(G184,Parámetros!$A$8:$A$20,0)),""))</f>
        <v/>
      </c>
      <c r="K184" s="16" t="n"/>
      <c r="L184" s="16" t="n"/>
      <c r="M184" s="28">
        <f>IF(A184="","",I184*J184-K184+L184)</f>
        <v/>
      </c>
      <c r="N184" s="27">
        <f>IF(A184="","",IFERROR(I184*INDEX(Parámetros!$C$8:$C$20,MATCH(G184,Parámetros!$A$8:$A$20,0)),0))</f>
        <v/>
      </c>
      <c r="O184" s="27">
        <f>IF(A184="","",IFERROR(I184*INDEX(Parámetros!$D$8:$D$20,MATCH(G184,Parámetros!$A$8:$A$20,0)),0))</f>
        <v/>
      </c>
      <c r="P184" s="28">
        <f>IF(A184="","",M184*Parámetros!$B$3+Parámetros!$B$4)</f>
        <v/>
      </c>
      <c r="Q184" s="16" t="n"/>
      <c r="R184" s="28">
        <f>IF(A184="","",M184/1.21-N184-O184-P184-Q184)</f>
        <v/>
      </c>
      <c r="S184" s="29">
        <f>IF(OR(A184="",M184=0),"",R184/(M184/1.21))</f>
        <v/>
      </c>
      <c r="T184" s="25" t="n"/>
      <c r="U184" s="25" t="n"/>
      <c r="V184" s="25" t="n"/>
      <c r="W184" s="25" t="n"/>
      <c r="X184" s="26" t="n"/>
      <c r="Y184" s="26" t="n"/>
      <c r="Z184" s="25" t="n"/>
    </row>
    <row r="185">
      <c r="A185" s="25" t="n"/>
      <c r="B185" s="26" t="n"/>
      <c r="C185" s="25" t="n"/>
      <c r="D185" s="25" t="n"/>
      <c r="E185" s="25" t="n"/>
      <c r="F185" s="25" t="n"/>
      <c r="G185" s="25" t="n"/>
      <c r="H185" s="25" t="n"/>
      <c r="I185" s="25" t="n"/>
      <c r="J185" s="27">
        <f>IF(G185="","",IFERROR(INDEX(Parámetros!$B$8:$B$20,MATCH(G185,Parámetros!$A$8:$A$20,0)),""))</f>
        <v/>
      </c>
      <c r="K185" s="16" t="n"/>
      <c r="L185" s="16" t="n"/>
      <c r="M185" s="28">
        <f>IF(A185="","",I185*J185-K185+L185)</f>
        <v/>
      </c>
      <c r="N185" s="27">
        <f>IF(A185="","",IFERROR(I185*INDEX(Parámetros!$C$8:$C$20,MATCH(G185,Parámetros!$A$8:$A$20,0)),0))</f>
        <v/>
      </c>
      <c r="O185" s="27">
        <f>IF(A185="","",IFERROR(I185*INDEX(Parámetros!$D$8:$D$20,MATCH(G185,Parámetros!$A$8:$A$20,0)),0))</f>
        <v/>
      </c>
      <c r="P185" s="28">
        <f>IF(A185="","",M185*Parámetros!$B$3+Parámetros!$B$4)</f>
        <v/>
      </c>
      <c r="Q185" s="16" t="n"/>
      <c r="R185" s="28">
        <f>IF(A185="","",M185/1.21-N185-O185-P185-Q185)</f>
        <v/>
      </c>
      <c r="S185" s="29">
        <f>IF(OR(A185="",M185=0),"",R185/(M185/1.21))</f>
        <v/>
      </c>
      <c r="T185" s="25" t="n"/>
      <c r="U185" s="25" t="n"/>
      <c r="V185" s="25" t="n"/>
      <c r="W185" s="25" t="n"/>
      <c r="X185" s="26" t="n"/>
      <c r="Y185" s="26" t="n"/>
      <c r="Z185" s="25" t="n"/>
    </row>
    <row r="186">
      <c r="A186" s="25" t="n"/>
      <c r="B186" s="26" t="n"/>
      <c r="C186" s="25" t="n"/>
      <c r="D186" s="25" t="n"/>
      <c r="E186" s="25" t="n"/>
      <c r="F186" s="25" t="n"/>
      <c r="G186" s="25" t="n"/>
      <c r="H186" s="25" t="n"/>
      <c r="I186" s="25" t="n"/>
      <c r="J186" s="27">
        <f>IF(G186="","",IFERROR(INDEX(Parámetros!$B$8:$B$20,MATCH(G186,Parámetros!$A$8:$A$20,0)),""))</f>
        <v/>
      </c>
      <c r="K186" s="16" t="n"/>
      <c r="L186" s="16" t="n"/>
      <c r="M186" s="28">
        <f>IF(A186="","",I186*J186-K186+L186)</f>
        <v/>
      </c>
      <c r="N186" s="27">
        <f>IF(A186="","",IFERROR(I186*INDEX(Parámetros!$C$8:$C$20,MATCH(G186,Parámetros!$A$8:$A$20,0)),0))</f>
        <v/>
      </c>
      <c r="O186" s="27">
        <f>IF(A186="","",IFERROR(I186*INDEX(Parámetros!$D$8:$D$20,MATCH(G186,Parámetros!$A$8:$A$20,0)),0))</f>
        <v/>
      </c>
      <c r="P186" s="28">
        <f>IF(A186="","",M186*Parámetros!$B$3+Parámetros!$B$4)</f>
        <v/>
      </c>
      <c r="Q186" s="16" t="n"/>
      <c r="R186" s="28">
        <f>IF(A186="","",M186/1.21-N186-O186-P186-Q186)</f>
        <v/>
      </c>
      <c r="S186" s="29">
        <f>IF(OR(A186="",M186=0),"",R186/(M186/1.21))</f>
        <v/>
      </c>
      <c r="T186" s="25" t="n"/>
      <c r="U186" s="25" t="n"/>
      <c r="V186" s="25" t="n"/>
      <c r="W186" s="25" t="n"/>
      <c r="X186" s="26" t="n"/>
      <c r="Y186" s="26" t="n"/>
      <c r="Z186" s="25" t="n"/>
    </row>
    <row r="187">
      <c r="A187" s="25" t="n"/>
      <c r="B187" s="26" t="n"/>
      <c r="C187" s="25" t="n"/>
      <c r="D187" s="25" t="n"/>
      <c r="E187" s="25" t="n"/>
      <c r="F187" s="25" t="n"/>
      <c r="G187" s="25" t="n"/>
      <c r="H187" s="25" t="n"/>
      <c r="I187" s="25" t="n"/>
      <c r="J187" s="27">
        <f>IF(G187="","",IFERROR(INDEX(Parámetros!$B$8:$B$20,MATCH(G187,Parámetros!$A$8:$A$20,0)),""))</f>
        <v/>
      </c>
      <c r="K187" s="16" t="n"/>
      <c r="L187" s="16" t="n"/>
      <c r="M187" s="28">
        <f>IF(A187="","",I187*J187-K187+L187)</f>
        <v/>
      </c>
      <c r="N187" s="27">
        <f>IF(A187="","",IFERROR(I187*INDEX(Parámetros!$C$8:$C$20,MATCH(G187,Parámetros!$A$8:$A$20,0)),0))</f>
        <v/>
      </c>
      <c r="O187" s="27">
        <f>IF(A187="","",IFERROR(I187*INDEX(Parámetros!$D$8:$D$20,MATCH(G187,Parámetros!$A$8:$A$20,0)),0))</f>
        <v/>
      </c>
      <c r="P187" s="28">
        <f>IF(A187="","",M187*Parámetros!$B$3+Parámetros!$B$4)</f>
        <v/>
      </c>
      <c r="Q187" s="16" t="n"/>
      <c r="R187" s="28">
        <f>IF(A187="","",M187/1.21-N187-O187-P187-Q187)</f>
        <v/>
      </c>
      <c r="S187" s="29">
        <f>IF(OR(A187="",M187=0),"",R187/(M187/1.21))</f>
        <v/>
      </c>
      <c r="T187" s="25" t="n"/>
      <c r="U187" s="25" t="n"/>
      <c r="V187" s="25" t="n"/>
      <c r="W187" s="25" t="n"/>
      <c r="X187" s="26" t="n"/>
      <c r="Y187" s="26" t="n"/>
      <c r="Z187" s="25" t="n"/>
    </row>
    <row r="188">
      <c r="A188" s="25" t="n"/>
      <c r="B188" s="26" t="n"/>
      <c r="C188" s="25" t="n"/>
      <c r="D188" s="25" t="n"/>
      <c r="E188" s="25" t="n"/>
      <c r="F188" s="25" t="n"/>
      <c r="G188" s="25" t="n"/>
      <c r="H188" s="25" t="n"/>
      <c r="I188" s="25" t="n"/>
      <c r="J188" s="27">
        <f>IF(G188="","",IFERROR(INDEX(Parámetros!$B$8:$B$20,MATCH(G188,Parámetros!$A$8:$A$20,0)),""))</f>
        <v/>
      </c>
      <c r="K188" s="16" t="n"/>
      <c r="L188" s="16" t="n"/>
      <c r="M188" s="28">
        <f>IF(A188="","",I188*J188-K188+L188)</f>
        <v/>
      </c>
      <c r="N188" s="27">
        <f>IF(A188="","",IFERROR(I188*INDEX(Parámetros!$C$8:$C$20,MATCH(G188,Parámetros!$A$8:$A$20,0)),0))</f>
        <v/>
      </c>
      <c r="O188" s="27">
        <f>IF(A188="","",IFERROR(I188*INDEX(Parámetros!$D$8:$D$20,MATCH(G188,Parámetros!$A$8:$A$20,0)),0))</f>
        <v/>
      </c>
      <c r="P188" s="28">
        <f>IF(A188="","",M188*Parámetros!$B$3+Parámetros!$B$4)</f>
        <v/>
      </c>
      <c r="Q188" s="16" t="n"/>
      <c r="R188" s="28">
        <f>IF(A188="","",M188/1.21-N188-O188-P188-Q188)</f>
        <v/>
      </c>
      <c r="S188" s="29">
        <f>IF(OR(A188="",M188=0),"",R188/(M188/1.21))</f>
        <v/>
      </c>
      <c r="T188" s="25" t="n"/>
      <c r="U188" s="25" t="n"/>
      <c r="V188" s="25" t="n"/>
      <c r="W188" s="25" t="n"/>
      <c r="X188" s="26" t="n"/>
      <c r="Y188" s="26" t="n"/>
      <c r="Z188" s="25" t="n"/>
    </row>
    <row r="189">
      <c r="A189" s="25" t="n"/>
      <c r="B189" s="26" t="n"/>
      <c r="C189" s="25" t="n"/>
      <c r="D189" s="25" t="n"/>
      <c r="E189" s="25" t="n"/>
      <c r="F189" s="25" t="n"/>
      <c r="G189" s="25" t="n"/>
      <c r="H189" s="25" t="n"/>
      <c r="I189" s="25" t="n"/>
      <c r="J189" s="27">
        <f>IF(G189="","",IFERROR(INDEX(Parámetros!$B$8:$B$20,MATCH(G189,Parámetros!$A$8:$A$20,0)),""))</f>
        <v/>
      </c>
      <c r="K189" s="16" t="n"/>
      <c r="L189" s="16" t="n"/>
      <c r="M189" s="28">
        <f>IF(A189="","",I189*J189-K189+L189)</f>
        <v/>
      </c>
      <c r="N189" s="27">
        <f>IF(A189="","",IFERROR(I189*INDEX(Parámetros!$C$8:$C$20,MATCH(G189,Parámetros!$A$8:$A$20,0)),0))</f>
        <v/>
      </c>
      <c r="O189" s="27">
        <f>IF(A189="","",IFERROR(I189*INDEX(Parámetros!$D$8:$D$20,MATCH(G189,Parámetros!$A$8:$A$20,0)),0))</f>
        <v/>
      </c>
      <c r="P189" s="28">
        <f>IF(A189="","",M189*Parámetros!$B$3+Parámetros!$B$4)</f>
        <v/>
      </c>
      <c r="Q189" s="16" t="n"/>
      <c r="R189" s="28">
        <f>IF(A189="","",M189/1.21-N189-O189-P189-Q189)</f>
        <v/>
      </c>
      <c r="S189" s="29">
        <f>IF(OR(A189="",M189=0),"",R189/(M189/1.21))</f>
        <v/>
      </c>
      <c r="T189" s="25" t="n"/>
      <c r="U189" s="25" t="n"/>
      <c r="V189" s="25" t="n"/>
      <c r="W189" s="25" t="n"/>
      <c r="X189" s="26" t="n"/>
      <c r="Y189" s="26" t="n"/>
      <c r="Z189" s="25" t="n"/>
    </row>
    <row r="190">
      <c r="A190" s="25" t="n"/>
      <c r="B190" s="26" t="n"/>
      <c r="C190" s="25" t="n"/>
      <c r="D190" s="25" t="n"/>
      <c r="E190" s="25" t="n"/>
      <c r="F190" s="25" t="n"/>
      <c r="G190" s="25" t="n"/>
      <c r="H190" s="25" t="n"/>
      <c r="I190" s="25" t="n"/>
      <c r="J190" s="27">
        <f>IF(G190="","",IFERROR(INDEX(Parámetros!$B$8:$B$20,MATCH(G190,Parámetros!$A$8:$A$20,0)),""))</f>
        <v/>
      </c>
      <c r="K190" s="16" t="n"/>
      <c r="L190" s="16" t="n"/>
      <c r="M190" s="28">
        <f>IF(A190="","",I190*J190-K190+L190)</f>
        <v/>
      </c>
      <c r="N190" s="27">
        <f>IF(A190="","",IFERROR(I190*INDEX(Parámetros!$C$8:$C$20,MATCH(G190,Parámetros!$A$8:$A$20,0)),0))</f>
        <v/>
      </c>
      <c r="O190" s="27">
        <f>IF(A190="","",IFERROR(I190*INDEX(Parámetros!$D$8:$D$20,MATCH(G190,Parámetros!$A$8:$A$20,0)),0))</f>
        <v/>
      </c>
      <c r="P190" s="28">
        <f>IF(A190="","",M190*Parámetros!$B$3+Parámetros!$B$4)</f>
        <v/>
      </c>
      <c r="Q190" s="16" t="n"/>
      <c r="R190" s="28">
        <f>IF(A190="","",M190/1.21-N190-O190-P190-Q190)</f>
        <v/>
      </c>
      <c r="S190" s="29">
        <f>IF(OR(A190="",M190=0),"",R190/(M190/1.21))</f>
        <v/>
      </c>
      <c r="T190" s="25" t="n"/>
      <c r="U190" s="25" t="n"/>
      <c r="V190" s="25" t="n"/>
      <c r="W190" s="25" t="n"/>
      <c r="X190" s="26" t="n"/>
      <c r="Y190" s="26" t="n"/>
      <c r="Z190" s="25" t="n"/>
    </row>
    <row r="191">
      <c r="A191" s="25" t="n"/>
      <c r="B191" s="26" t="n"/>
      <c r="C191" s="25" t="n"/>
      <c r="D191" s="25" t="n"/>
      <c r="E191" s="25" t="n"/>
      <c r="F191" s="25" t="n"/>
      <c r="G191" s="25" t="n"/>
      <c r="H191" s="25" t="n"/>
      <c r="I191" s="25" t="n"/>
      <c r="J191" s="27">
        <f>IF(G191="","",IFERROR(INDEX(Parámetros!$B$8:$B$20,MATCH(G191,Parámetros!$A$8:$A$20,0)),""))</f>
        <v/>
      </c>
      <c r="K191" s="16" t="n"/>
      <c r="L191" s="16" t="n"/>
      <c r="M191" s="28">
        <f>IF(A191="","",I191*J191-K191+L191)</f>
        <v/>
      </c>
      <c r="N191" s="27">
        <f>IF(A191="","",IFERROR(I191*INDEX(Parámetros!$C$8:$C$20,MATCH(G191,Parámetros!$A$8:$A$20,0)),0))</f>
        <v/>
      </c>
      <c r="O191" s="27">
        <f>IF(A191="","",IFERROR(I191*INDEX(Parámetros!$D$8:$D$20,MATCH(G191,Parámetros!$A$8:$A$20,0)),0))</f>
        <v/>
      </c>
      <c r="P191" s="28">
        <f>IF(A191="","",M191*Parámetros!$B$3+Parámetros!$B$4)</f>
        <v/>
      </c>
      <c r="Q191" s="16" t="n"/>
      <c r="R191" s="28">
        <f>IF(A191="","",M191/1.21-N191-O191-P191-Q191)</f>
        <v/>
      </c>
      <c r="S191" s="29">
        <f>IF(OR(A191="",M191=0),"",R191/(M191/1.21))</f>
        <v/>
      </c>
      <c r="T191" s="25" t="n"/>
      <c r="U191" s="25" t="n"/>
      <c r="V191" s="25" t="n"/>
      <c r="W191" s="25" t="n"/>
      <c r="X191" s="26" t="n"/>
      <c r="Y191" s="26" t="n"/>
      <c r="Z191" s="25" t="n"/>
    </row>
    <row r="192">
      <c r="A192" s="25" t="n"/>
      <c r="B192" s="26" t="n"/>
      <c r="C192" s="25" t="n"/>
      <c r="D192" s="25" t="n"/>
      <c r="E192" s="25" t="n"/>
      <c r="F192" s="25" t="n"/>
      <c r="G192" s="25" t="n"/>
      <c r="H192" s="25" t="n"/>
      <c r="I192" s="25" t="n"/>
      <c r="J192" s="27">
        <f>IF(G192="","",IFERROR(INDEX(Parámetros!$B$8:$B$20,MATCH(G192,Parámetros!$A$8:$A$20,0)),""))</f>
        <v/>
      </c>
      <c r="K192" s="16" t="n"/>
      <c r="L192" s="16" t="n"/>
      <c r="M192" s="28">
        <f>IF(A192="","",I192*J192-K192+L192)</f>
        <v/>
      </c>
      <c r="N192" s="27">
        <f>IF(A192="","",IFERROR(I192*INDEX(Parámetros!$C$8:$C$20,MATCH(G192,Parámetros!$A$8:$A$20,0)),0))</f>
        <v/>
      </c>
      <c r="O192" s="27">
        <f>IF(A192="","",IFERROR(I192*INDEX(Parámetros!$D$8:$D$20,MATCH(G192,Parámetros!$A$8:$A$20,0)),0))</f>
        <v/>
      </c>
      <c r="P192" s="28">
        <f>IF(A192="","",M192*Parámetros!$B$3+Parámetros!$B$4)</f>
        <v/>
      </c>
      <c r="Q192" s="16" t="n"/>
      <c r="R192" s="28">
        <f>IF(A192="","",M192/1.21-N192-O192-P192-Q192)</f>
        <v/>
      </c>
      <c r="S192" s="29">
        <f>IF(OR(A192="",M192=0),"",R192/(M192/1.21))</f>
        <v/>
      </c>
      <c r="T192" s="25" t="n"/>
      <c r="U192" s="25" t="n"/>
      <c r="V192" s="25" t="n"/>
      <c r="W192" s="25" t="n"/>
      <c r="X192" s="26" t="n"/>
      <c r="Y192" s="26" t="n"/>
      <c r="Z192" s="25" t="n"/>
    </row>
    <row r="193">
      <c r="A193" s="25" t="n"/>
      <c r="B193" s="26" t="n"/>
      <c r="C193" s="25" t="n"/>
      <c r="D193" s="25" t="n"/>
      <c r="E193" s="25" t="n"/>
      <c r="F193" s="25" t="n"/>
      <c r="G193" s="25" t="n"/>
      <c r="H193" s="25" t="n"/>
      <c r="I193" s="25" t="n"/>
      <c r="J193" s="27">
        <f>IF(G193="","",IFERROR(INDEX(Parámetros!$B$8:$B$20,MATCH(G193,Parámetros!$A$8:$A$20,0)),""))</f>
        <v/>
      </c>
      <c r="K193" s="16" t="n"/>
      <c r="L193" s="16" t="n"/>
      <c r="M193" s="28">
        <f>IF(A193="","",I193*J193-K193+L193)</f>
        <v/>
      </c>
      <c r="N193" s="27">
        <f>IF(A193="","",IFERROR(I193*INDEX(Parámetros!$C$8:$C$20,MATCH(G193,Parámetros!$A$8:$A$20,0)),0))</f>
        <v/>
      </c>
      <c r="O193" s="27">
        <f>IF(A193="","",IFERROR(I193*INDEX(Parámetros!$D$8:$D$20,MATCH(G193,Parámetros!$A$8:$A$20,0)),0))</f>
        <v/>
      </c>
      <c r="P193" s="28">
        <f>IF(A193="","",M193*Parámetros!$B$3+Parámetros!$B$4)</f>
        <v/>
      </c>
      <c r="Q193" s="16" t="n"/>
      <c r="R193" s="28">
        <f>IF(A193="","",M193/1.21-N193-O193-P193-Q193)</f>
        <v/>
      </c>
      <c r="S193" s="29">
        <f>IF(OR(A193="",M193=0),"",R193/(M193/1.21))</f>
        <v/>
      </c>
      <c r="T193" s="25" t="n"/>
      <c r="U193" s="25" t="n"/>
      <c r="V193" s="25" t="n"/>
      <c r="W193" s="25" t="n"/>
      <c r="X193" s="26" t="n"/>
      <c r="Y193" s="26" t="n"/>
      <c r="Z193" s="25" t="n"/>
    </row>
    <row r="194">
      <c r="A194" s="25" t="n"/>
      <c r="B194" s="26" t="n"/>
      <c r="C194" s="25" t="n"/>
      <c r="D194" s="25" t="n"/>
      <c r="E194" s="25" t="n"/>
      <c r="F194" s="25" t="n"/>
      <c r="G194" s="25" t="n"/>
      <c r="H194" s="25" t="n"/>
      <c r="I194" s="25" t="n"/>
      <c r="J194" s="27">
        <f>IF(G194="","",IFERROR(INDEX(Parámetros!$B$8:$B$20,MATCH(G194,Parámetros!$A$8:$A$20,0)),""))</f>
        <v/>
      </c>
      <c r="K194" s="16" t="n"/>
      <c r="L194" s="16" t="n"/>
      <c r="M194" s="28">
        <f>IF(A194="","",I194*J194-K194+L194)</f>
        <v/>
      </c>
      <c r="N194" s="27">
        <f>IF(A194="","",IFERROR(I194*INDEX(Parámetros!$C$8:$C$20,MATCH(G194,Parámetros!$A$8:$A$20,0)),0))</f>
        <v/>
      </c>
      <c r="O194" s="27">
        <f>IF(A194="","",IFERROR(I194*INDEX(Parámetros!$D$8:$D$20,MATCH(G194,Parámetros!$A$8:$A$20,0)),0))</f>
        <v/>
      </c>
      <c r="P194" s="28">
        <f>IF(A194="","",M194*Parámetros!$B$3+Parámetros!$B$4)</f>
        <v/>
      </c>
      <c r="Q194" s="16" t="n"/>
      <c r="R194" s="28">
        <f>IF(A194="","",M194/1.21-N194-O194-P194-Q194)</f>
        <v/>
      </c>
      <c r="S194" s="29">
        <f>IF(OR(A194="",M194=0),"",R194/(M194/1.21))</f>
        <v/>
      </c>
      <c r="T194" s="25" t="n"/>
      <c r="U194" s="25" t="n"/>
      <c r="V194" s="25" t="n"/>
      <c r="W194" s="25" t="n"/>
      <c r="X194" s="26" t="n"/>
      <c r="Y194" s="26" t="n"/>
      <c r="Z194" s="25" t="n"/>
    </row>
    <row r="195">
      <c r="A195" s="25" t="n"/>
      <c r="B195" s="26" t="n"/>
      <c r="C195" s="25" t="n"/>
      <c r="D195" s="25" t="n"/>
      <c r="E195" s="25" t="n"/>
      <c r="F195" s="25" t="n"/>
      <c r="G195" s="25" t="n"/>
      <c r="H195" s="25" t="n"/>
      <c r="I195" s="25" t="n"/>
      <c r="J195" s="27">
        <f>IF(G195="","",IFERROR(INDEX(Parámetros!$B$8:$B$20,MATCH(G195,Parámetros!$A$8:$A$20,0)),""))</f>
        <v/>
      </c>
      <c r="K195" s="16" t="n"/>
      <c r="L195" s="16" t="n"/>
      <c r="M195" s="28">
        <f>IF(A195="","",I195*J195-K195+L195)</f>
        <v/>
      </c>
      <c r="N195" s="27">
        <f>IF(A195="","",IFERROR(I195*INDEX(Parámetros!$C$8:$C$20,MATCH(G195,Parámetros!$A$8:$A$20,0)),0))</f>
        <v/>
      </c>
      <c r="O195" s="27">
        <f>IF(A195="","",IFERROR(I195*INDEX(Parámetros!$D$8:$D$20,MATCH(G195,Parámetros!$A$8:$A$20,0)),0))</f>
        <v/>
      </c>
      <c r="P195" s="28">
        <f>IF(A195="","",M195*Parámetros!$B$3+Parámetros!$B$4)</f>
        <v/>
      </c>
      <c r="Q195" s="16" t="n"/>
      <c r="R195" s="28">
        <f>IF(A195="","",M195/1.21-N195-O195-P195-Q195)</f>
        <v/>
      </c>
      <c r="S195" s="29">
        <f>IF(OR(A195="",M195=0),"",R195/(M195/1.21))</f>
        <v/>
      </c>
      <c r="T195" s="25" t="n"/>
      <c r="U195" s="25" t="n"/>
      <c r="V195" s="25" t="n"/>
      <c r="W195" s="25" t="n"/>
      <c r="X195" s="26" t="n"/>
      <c r="Y195" s="26" t="n"/>
      <c r="Z195" s="25" t="n"/>
    </row>
    <row r="196">
      <c r="A196" s="25" t="n"/>
      <c r="B196" s="26" t="n"/>
      <c r="C196" s="25" t="n"/>
      <c r="D196" s="25" t="n"/>
      <c r="E196" s="25" t="n"/>
      <c r="F196" s="25" t="n"/>
      <c r="G196" s="25" t="n"/>
      <c r="H196" s="25" t="n"/>
      <c r="I196" s="25" t="n"/>
      <c r="J196" s="27">
        <f>IF(G196="","",IFERROR(INDEX(Parámetros!$B$8:$B$20,MATCH(G196,Parámetros!$A$8:$A$20,0)),""))</f>
        <v/>
      </c>
      <c r="K196" s="16" t="n"/>
      <c r="L196" s="16" t="n"/>
      <c r="M196" s="28">
        <f>IF(A196="","",I196*J196-K196+L196)</f>
        <v/>
      </c>
      <c r="N196" s="27">
        <f>IF(A196="","",IFERROR(I196*INDEX(Parámetros!$C$8:$C$20,MATCH(G196,Parámetros!$A$8:$A$20,0)),0))</f>
        <v/>
      </c>
      <c r="O196" s="27">
        <f>IF(A196="","",IFERROR(I196*INDEX(Parámetros!$D$8:$D$20,MATCH(G196,Parámetros!$A$8:$A$20,0)),0))</f>
        <v/>
      </c>
      <c r="P196" s="28">
        <f>IF(A196="","",M196*Parámetros!$B$3+Parámetros!$B$4)</f>
        <v/>
      </c>
      <c r="Q196" s="16" t="n"/>
      <c r="R196" s="28">
        <f>IF(A196="","",M196/1.21-N196-O196-P196-Q196)</f>
        <v/>
      </c>
      <c r="S196" s="29">
        <f>IF(OR(A196="",M196=0),"",R196/(M196/1.21))</f>
        <v/>
      </c>
      <c r="T196" s="25" t="n"/>
      <c r="U196" s="25" t="n"/>
      <c r="V196" s="25" t="n"/>
      <c r="W196" s="25" t="n"/>
      <c r="X196" s="26" t="n"/>
      <c r="Y196" s="26" t="n"/>
      <c r="Z196" s="25" t="n"/>
    </row>
    <row r="197">
      <c r="A197" s="25" t="n"/>
      <c r="B197" s="26" t="n"/>
      <c r="C197" s="25" t="n"/>
      <c r="D197" s="25" t="n"/>
      <c r="E197" s="25" t="n"/>
      <c r="F197" s="25" t="n"/>
      <c r="G197" s="25" t="n"/>
      <c r="H197" s="25" t="n"/>
      <c r="I197" s="25" t="n"/>
      <c r="J197" s="27">
        <f>IF(G197="","",IFERROR(INDEX(Parámetros!$B$8:$B$20,MATCH(G197,Parámetros!$A$8:$A$20,0)),""))</f>
        <v/>
      </c>
      <c r="K197" s="16" t="n"/>
      <c r="L197" s="16" t="n"/>
      <c r="M197" s="28">
        <f>IF(A197="","",I197*J197-K197+L197)</f>
        <v/>
      </c>
      <c r="N197" s="27">
        <f>IF(A197="","",IFERROR(I197*INDEX(Parámetros!$C$8:$C$20,MATCH(G197,Parámetros!$A$8:$A$20,0)),0))</f>
        <v/>
      </c>
      <c r="O197" s="27">
        <f>IF(A197="","",IFERROR(I197*INDEX(Parámetros!$D$8:$D$20,MATCH(G197,Parámetros!$A$8:$A$20,0)),0))</f>
        <v/>
      </c>
      <c r="P197" s="28">
        <f>IF(A197="","",M197*Parámetros!$B$3+Parámetros!$B$4)</f>
        <v/>
      </c>
      <c r="Q197" s="16" t="n"/>
      <c r="R197" s="28">
        <f>IF(A197="","",M197/1.21-N197-O197-P197-Q197)</f>
        <v/>
      </c>
      <c r="S197" s="29">
        <f>IF(OR(A197="",M197=0),"",R197/(M197/1.21))</f>
        <v/>
      </c>
      <c r="T197" s="25" t="n"/>
      <c r="U197" s="25" t="n"/>
      <c r="V197" s="25" t="n"/>
      <c r="W197" s="25" t="n"/>
      <c r="X197" s="26" t="n"/>
      <c r="Y197" s="26" t="n"/>
      <c r="Z197" s="25" t="n"/>
    </row>
    <row r="198">
      <c r="A198" s="25" t="n"/>
      <c r="B198" s="26" t="n"/>
      <c r="C198" s="25" t="n"/>
      <c r="D198" s="25" t="n"/>
      <c r="E198" s="25" t="n"/>
      <c r="F198" s="25" t="n"/>
      <c r="G198" s="25" t="n"/>
      <c r="H198" s="25" t="n"/>
      <c r="I198" s="25" t="n"/>
      <c r="J198" s="27">
        <f>IF(G198="","",IFERROR(INDEX(Parámetros!$B$8:$B$20,MATCH(G198,Parámetros!$A$8:$A$20,0)),""))</f>
        <v/>
      </c>
      <c r="K198" s="16" t="n"/>
      <c r="L198" s="16" t="n"/>
      <c r="M198" s="28">
        <f>IF(A198="","",I198*J198-K198+L198)</f>
        <v/>
      </c>
      <c r="N198" s="27">
        <f>IF(A198="","",IFERROR(I198*INDEX(Parámetros!$C$8:$C$20,MATCH(G198,Parámetros!$A$8:$A$20,0)),0))</f>
        <v/>
      </c>
      <c r="O198" s="27">
        <f>IF(A198="","",IFERROR(I198*INDEX(Parámetros!$D$8:$D$20,MATCH(G198,Parámetros!$A$8:$A$20,0)),0))</f>
        <v/>
      </c>
      <c r="P198" s="28">
        <f>IF(A198="","",M198*Parámetros!$B$3+Parámetros!$B$4)</f>
        <v/>
      </c>
      <c r="Q198" s="16" t="n"/>
      <c r="R198" s="28">
        <f>IF(A198="","",M198/1.21-N198-O198-P198-Q198)</f>
        <v/>
      </c>
      <c r="S198" s="29">
        <f>IF(OR(A198="",M198=0),"",R198/(M198/1.21))</f>
        <v/>
      </c>
      <c r="T198" s="25" t="n"/>
      <c r="U198" s="25" t="n"/>
      <c r="V198" s="25" t="n"/>
      <c r="W198" s="25" t="n"/>
      <c r="X198" s="26" t="n"/>
      <c r="Y198" s="26" t="n"/>
      <c r="Z198" s="25" t="n"/>
    </row>
    <row r="199">
      <c r="A199" s="25" t="n"/>
      <c r="B199" s="26" t="n"/>
      <c r="C199" s="25" t="n"/>
      <c r="D199" s="25" t="n"/>
      <c r="E199" s="25" t="n"/>
      <c r="F199" s="25" t="n"/>
      <c r="G199" s="25" t="n"/>
      <c r="H199" s="25" t="n"/>
      <c r="I199" s="25" t="n"/>
      <c r="J199" s="27">
        <f>IF(G199="","",IFERROR(INDEX(Parámetros!$B$8:$B$20,MATCH(G199,Parámetros!$A$8:$A$20,0)),""))</f>
        <v/>
      </c>
      <c r="K199" s="16" t="n"/>
      <c r="L199" s="16" t="n"/>
      <c r="M199" s="28">
        <f>IF(A199="","",I199*J199-K199+L199)</f>
        <v/>
      </c>
      <c r="N199" s="27">
        <f>IF(A199="","",IFERROR(I199*INDEX(Parámetros!$C$8:$C$20,MATCH(G199,Parámetros!$A$8:$A$20,0)),0))</f>
        <v/>
      </c>
      <c r="O199" s="27">
        <f>IF(A199="","",IFERROR(I199*INDEX(Parámetros!$D$8:$D$20,MATCH(G199,Parámetros!$A$8:$A$20,0)),0))</f>
        <v/>
      </c>
      <c r="P199" s="28">
        <f>IF(A199="","",M199*Parámetros!$B$3+Parámetros!$B$4)</f>
        <v/>
      </c>
      <c r="Q199" s="16" t="n"/>
      <c r="R199" s="28">
        <f>IF(A199="","",M199/1.21-N199-O199-P199-Q199)</f>
        <v/>
      </c>
      <c r="S199" s="29">
        <f>IF(OR(A199="",M199=0),"",R199/(M199/1.21))</f>
        <v/>
      </c>
      <c r="T199" s="25" t="n"/>
      <c r="U199" s="25" t="n"/>
      <c r="V199" s="25" t="n"/>
      <c r="W199" s="25" t="n"/>
      <c r="X199" s="26" t="n"/>
      <c r="Y199" s="26" t="n"/>
      <c r="Z199" s="25" t="n"/>
    </row>
    <row r="200">
      <c r="A200" s="25" t="n"/>
      <c r="B200" s="26" t="n"/>
      <c r="C200" s="25" t="n"/>
      <c r="D200" s="25" t="n"/>
      <c r="E200" s="25" t="n"/>
      <c r="F200" s="25" t="n"/>
      <c r="G200" s="25" t="n"/>
      <c r="H200" s="25" t="n"/>
      <c r="I200" s="25" t="n"/>
      <c r="J200" s="27">
        <f>IF(G200="","",IFERROR(INDEX(Parámetros!$B$8:$B$20,MATCH(G200,Parámetros!$A$8:$A$20,0)),""))</f>
        <v/>
      </c>
      <c r="K200" s="16" t="n"/>
      <c r="L200" s="16" t="n"/>
      <c r="M200" s="28">
        <f>IF(A200="","",I200*J200-K200+L200)</f>
        <v/>
      </c>
      <c r="N200" s="27">
        <f>IF(A200="","",IFERROR(I200*INDEX(Parámetros!$C$8:$C$20,MATCH(G200,Parámetros!$A$8:$A$20,0)),0))</f>
        <v/>
      </c>
      <c r="O200" s="27">
        <f>IF(A200="","",IFERROR(I200*INDEX(Parámetros!$D$8:$D$20,MATCH(G200,Parámetros!$A$8:$A$20,0)),0))</f>
        <v/>
      </c>
      <c r="P200" s="28">
        <f>IF(A200="","",M200*Parámetros!$B$3+Parámetros!$B$4)</f>
        <v/>
      </c>
      <c r="Q200" s="16" t="n"/>
      <c r="R200" s="28">
        <f>IF(A200="","",M200/1.21-N200-O200-P200-Q200)</f>
        <v/>
      </c>
      <c r="S200" s="29">
        <f>IF(OR(A200="",M200=0),"",R200/(M200/1.21))</f>
        <v/>
      </c>
      <c r="T200" s="25" t="n"/>
      <c r="U200" s="25" t="n"/>
      <c r="V200" s="25" t="n"/>
      <c r="W200" s="25" t="n"/>
      <c r="X200" s="26" t="n"/>
      <c r="Y200" s="26" t="n"/>
      <c r="Z200" s="25" t="n"/>
    </row>
    <row r="201">
      <c r="A201" s="25" t="n"/>
      <c r="B201" s="26" t="n"/>
      <c r="C201" s="25" t="n"/>
      <c r="D201" s="25" t="n"/>
      <c r="E201" s="25" t="n"/>
      <c r="F201" s="25" t="n"/>
      <c r="G201" s="25" t="n"/>
      <c r="H201" s="25" t="n"/>
      <c r="I201" s="25" t="n"/>
      <c r="J201" s="27">
        <f>IF(G201="","",IFERROR(INDEX(Parámetros!$B$8:$B$20,MATCH(G201,Parámetros!$A$8:$A$20,0)),""))</f>
        <v/>
      </c>
      <c r="K201" s="16" t="n"/>
      <c r="L201" s="16" t="n"/>
      <c r="M201" s="28">
        <f>IF(A201="","",I201*J201-K201+L201)</f>
        <v/>
      </c>
      <c r="N201" s="27">
        <f>IF(A201="","",IFERROR(I201*INDEX(Parámetros!$C$8:$C$20,MATCH(G201,Parámetros!$A$8:$A$20,0)),0))</f>
        <v/>
      </c>
      <c r="O201" s="27">
        <f>IF(A201="","",IFERROR(I201*INDEX(Parámetros!$D$8:$D$20,MATCH(G201,Parámetros!$A$8:$A$20,0)),0))</f>
        <v/>
      </c>
      <c r="P201" s="28">
        <f>IF(A201="","",M201*Parámetros!$B$3+Parámetros!$B$4)</f>
        <v/>
      </c>
      <c r="Q201" s="16" t="n"/>
      <c r="R201" s="28">
        <f>IF(A201="","",M201/1.21-N201-O201-P201-Q201)</f>
        <v/>
      </c>
      <c r="S201" s="29">
        <f>IF(OR(A201="",M201=0),"",R201/(M201/1.21))</f>
        <v/>
      </c>
      <c r="T201" s="25" t="n"/>
      <c r="U201" s="25" t="n"/>
      <c r="V201" s="25" t="n"/>
      <c r="W201" s="25" t="n"/>
      <c r="X201" s="26" t="n"/>
      <c r="Y201" s="26" t="n"/>
      <c r="Z201" s="25" t="n"/>
    </row>
    <row r="202">
      <c r="A202" s="25" t="n"/>
      <c r="B202" s="26" t="n"/>
      <c r="C202" s="25" t="n"/>
      <c r="D202" s="25" t="n"/>
      <c r="E202" s="25" t="n"/>
      <c r="F202" s="25" t="n"/>
      <c r="G202" s="25" t="n"/>
      <c r="H202" s="25" t="n"/>
      <c r="I202" s="25" t="n"/>
      <c r="J202" s="27">
        <f>IF(G202="","",IFERROR(INDEX(Parámetros!$B$8:$B$20,MATCH(G202,Parámetros!$A$8:$A$20,0)),""))</f>
        <v/>
      </c>
      <c r="K202" s="16" t="n"/>
      <c r="L202" s="16" t="n"/>
      <c r="M202" s="28">
        <f>IF(A202="","",I202*J202-K202+L202)</f>
        <v/>
      </c>
      <c r="N202" s="27">
        <f>IF(A202="","",IFERROR(I202*INDEX(Parámetros!$C$8:$C$20,MATCH(G202,Parámetros!$A$8:$A$20,0)),0))</f>
        <v/>
      </c>
      <c r="O202" s="27">
        <f>IF(A202="","",IFERROR(I202*INDEX(Parámetros!$D$8:$D$20,MATCH(G202,Parámetros!$A$8:$A$20,0)),0))</f>
        <v/>
      </c>
      <c r="P202" s="28">
        <f>IF(A202="","",M202*Parámetros!$B$3+Parámetros!$B$4)</f>
        <v/>
      </c>
      <c r="Q202" s="16" t="n"/>
      <c r="R202" s="28">
        <f>IF(A202="","",M202/1.21-N202-O202-P202-Q202)</f>
        <v/>
      </c>
      <c r="S202" s="29">
        <f>IF(OR(A202="",M202=0),"",R202/(M202/1.21))</f>
        <v/>
      </c>
      <c r="T202" s="25" t="n"/>
      <c r="U202" s="25" t="n"/>
      <c r="V202" s="25" t="n"/>
      <c r="W202" s="25" t="n"/>
      <c r="X202" s="26" t="n"/>
      <c r="Y202" s="26" t="n"/>
      <c r="Z202" s="25" t="n"/>
    </row>
    <row r="203">
      <c r="A203" s="25" t="n"/>
      <c r="B203" s="26" t="n"/>
      <c r="C203" s="25" t="n"/>
      <c r="D203" s="25" t="n"/>
      <c r="E203" s="25" t="n"/>
      <c r="F203" s="25" t="n"/>
      <c r="G203" s="25" t="n"/>
      <c r="H203" s="25" t="n"/>
      <c r="I203" s="25" t="n"/>
      <c r="J203" s="27">
        <f>IF(G203="","",IFERROR(INDEX(Parámetros!$B$8:$B$20,MATCH(G203,Parámetros!$A$8:$A$20,0)),""))</f>
        <v/>
      </c>
      <c r="K203" s="16" t="n"/>
      <c r="L203" s="16" t="n"/>
      <c r="M203" s="28">
        <f>IF(A203="","",I203*J203-K203+L203)</f>
        <v/>
      </c>
      <c r="N203" s="27">
        <f>IF(A203="","",IFERROR(I203*INDEX(Parámetros!$C$8:$C$20,MATCH(G203,Parámetros!$A$8:$A$20,0)),0))</f>
        <v/>
      </c>
      <c r="O203" s="27">
        <f>IF(A203="","",IFERROR(I203*INDEX(Parámetros!$D$8:$D$20,MATCH(G203,Parámetros!$A$8:$A$20,0)),0))</f>
        <v/>
      </c>
      <c r="P203" s="28">
        <f>IF(A203="","",M203*Parámetros!$B$3+Parámetros!$B$4)</f>
        <v/>
      </c>
      <c r="Q203" s="16" t="n"/>
      <c r="R203" s="28">
        <f>IF(A203="","",M203/1.21-N203-O203-P203-Q203)</f>
        <v/>
      </c>
      <c r="S203" s="29">
        <f>IF(OR(A203="",M203=0),"",R203/(M203/1.21))</f>
        <v/>
      </c>
      <c r="T203" s="25" t="n"/>
      <c r="U203" s="25" t="n"/>
      <c r="V203" s="25" t="n"/>
      <c r="W203" s="25" t="n"/>
      <c r="X203" s="26" t="n"/>
      <c r="Y203" s="26" t="n"/>
      <c r="Z203" s="25" t="n"/>
    </row>
    <row r="204">
      <c r="A204" s="25" t="n"/>
      <c r="B204" s="26" t="n"/>
      <c r="C204" s="25" t="n"/>
      <c r="D204" s="25" t="n"/>
      <c r="E204" s="25" t="n"/>
      <c r="F204" s="25" t="n"/>
      <c r="G204" s="25" t="n"/>
      <c r="H204" s="25" t="n"/>
      <c r="I204" s="25" t="n"/>
      <c r="J204" s="27">
        <f>IF(G204="","",IFERROR(INDEX(Parámetros!$B$8:$B$20,MATCH(G204,Parámetros!$A$8:$A$20,0)),""))</f>
        <v/>
      </c>
      <c r="K204" s="16" t="n"/>
      <c r="L204" s="16" t="n"/>
      <c r="M204" s="28">
        <f>IF(A204="","",I204*J204-K204+L204)</f>
        <v/>
      </c>
      <c r="N204" s="27">
        <f>IF(A204="","",IFERROR(I204*INDEX(Parámetros!$C$8:$C$20,MATCH(G204,Parámetros!$A$8:$A$20,0)),0))</f>
        <v/>
      </c>
      <c r="O204" s="27">
        <f>IF(A204="","",IFERROR(I204*INDEX(Parámetros!$D$8:$D$20,MATCH(G204,Parámetros!$A$8:$A$20,0)),0))</f>
        <v/>
      </c>
      <c r="P204" s="28">
        <f>IF(A204="","",M204*Parámetros!$B$3+Parámetros!$B$4)</f>
        <v/>
      </c>
      <c r="Q204" s="16" t="n"/>
      <c r="R204" s="28">
        <f>IF(A204="","",M204/1.21-N204-O204-P204-Q204)</f>
        <v/>
      </c>
      <c r="S204" s="29">
        <f>IF(OR(A204="",M204=0),"",R204/(M204/1.21))</f>
        <v/>
      </c>
      <c r="T204" s="25" t="n"/>
      <c r="U204" s="25" t="n"/>
      <c r="V204" s="25" t="n"/>
      <c r="W204" s="25" t="n"/>
      <c r="X204" s="26" t="n"/>
      <c r="Y204" s="26" t="n"/>
      <c r="Z204" s="25" t="n"/>
    </row>
    <row r="205">
      <c r="A205" s="25" t="n"/>
      <c r="B205" s="26" t="n"/>
      <c r="C205" s="25" t="n"/>
      <c r="D205" s="25" t="n"/>
      <c r="E205" s="25" t="n"/>
      <c r="F205" s="25" t="n"/>
      <c r="G205" s="25" t="n"/>
      <c r="H205" s="25" t="n"/>
      <c r="I205" s="25" t="n"/>
      <c r="J205" s="27">
        <f>IF(G205="","",IFERROR(INDEX(Parámetros!$B$8:$B$20,MATCH(G205,Parámetros!$A$8:$A$20,0)),""))</f>
        <v/>
      </c>
      <c r="K205" s="16" t="n"/>
      <c r="L205" s="16" t="n"/>
      <c r="M205" s="28">
        <f>IF(A205="","",I205*J205-K205+L205)</f>
        <v/>
      </c>
      <c r="N205" s="27">
        <f>IF(A205="","",IFERROR(I205*INDEX(Parámetros!$C$8:$C$20,MATCH(G205,Parámetros!$A$8:$A$20,0)),0))</f>
        <v/>
      </c>
      <c r="O205" s="27">
        <f>IF(A205="","",IFERROR(I205*INDEX(Parámetros!$D$8:$D$20,MATCH(G205,Parámetros!$A$8:$A$20,0)),0))</f>
        <v/>
      </c>
      <c r="P205" s="28">
        <f>IF(A205="","",M205*Parámetros!$B$3+Parámetros!$B$4)</f>
        <v/>
      </c>
      <c r="Q205" s="16" t="n"/>
      <c r="R205" s="28">
        <f>IF(A205="","",M205/1.21-N205-O205-P205-Q205)</f>
        <v/>
      </c>
      <c r="S205" s="29">
        <f>IF(OR(A205="",M205=0),"",R205/(M205/1.21))</f>
        <v/>
      </c>
      <c r="T205" s="25" t="n"/>
      <c r="U205" s="25" t="n"/>
      <c r="V205" s="25" t="n"/>
      <c r="W205" s="25" t="n"/>
      <c r="X205" s="26" t="n"/>
      <c r="Y205" s="26" t="n"/>
      <c r="Z205" s="25" t="n"/>
    </row>
    <row r="206">
      <c r="A206" s="25" t="n"/>
      <c r="B206" s="26" t="n"/>
      <c r="C206" s="25" t="n"/>
      <c r="D206" s="25" t="n"/>
      <c r="E206" s="25" t="n"/>
      <c r="F206" s="25" t="n"/>
      <c r="G206" s="25" t="n"/>
      <c r="H206" s="25" t="n"/>
      <c r="I206" s="25" t="n"/>
      <c r="J206" s="27">
        <f>IF(G206="","",IFERROR(INDEX(Parámetros!$B$8:$B$20,MATCH(G206,Parámetros!$A$8:$A$20,0)),""))</f>
        <v/>
      </c>
      <c r="K206" s="16" t="n"/>
      <c r="L206" s="16" t="n"/>
      <c r="M206" s="28">
        <f>IF(A206="","",I206*J206-K206+L206)</f>
        <v/>
      </c>
      <c r="N206" s="27">
        <f>IF(A206="","",IFERROR(I206*INDEX(Parámetros!$C$8:$C$20,MATCH(G206,Parámetros!$A$8:$A$20,0)),0))</f>
        <v/>
      </c>
      <c r="O206" s="27">
        <f>IF(A206="","",IFERROR(I206*INDEX(Parámetros!$D$8:$D$20,MATCH(G206,Parámetros!$A$8:$A$20,0)),0))</f>
        <v/>
      </c>
      <c r="P206" s="28">
        <f>IF(A206="","",M206*Parámetros!$B$3+Parámetros!$B$4)</f>
        <v/>
      </c>
      <c r="Q206" s="16" t="n"/>
      <c r="R206" s="28">
        <f>IF(A206="","",M206/1.21-N206-O206-P206-Q206)</f>
        <v/>
      </c>
      <c r="S206" s="29">
        <f>IF(OR(A206="",M206=0),"",R206/(M206/1.21))</f>
        <v/>
      </c>
      <c r="T206" s="25" t="n"/>
      <c r="U206" s="25" t="n"/>
      <c r="V206" s="25" t="n"/>
      <c r="W206" s="25" t="n"/>
      <c r="X206" s="26" t="n"/>
      <c r="Y206" s="26" t="n"/>
      <c r="Z206" s="25" t="n"/>
    </row>
    <row r="207">
      <c r="A207" s="25" t="n"/>
      <c r="B207" s="26" t="n"/>
      <c r="C207" s="25" t="n"/>
      <c r="D207" s="25" t="n"/>
      <c r="E207" s="25" t="n"/>
      <c r="F207" s="25" t="n"/>
      <c r="G207" s="25" t="n"/>
      <c r="H207" s="25" t="n"/>
      <c r="I207" s="25" t="n"/>
      <c r="J207" s="27">
        <f>IF(G207="","",IFERROR(INDEX(Parámetros!$B$8:$B$20,MATCH(G207,Parámetros!$A$8:$A$20,0)),""))</f>
        <v/>
      </c>
      <c r="K207" s="16" t="n"/>
      <c r="L207" s="16" t="n"/>
      <c r="M207" s="28">
        <f>IF(A207="","",I207*J207-K207+L207)</f>
        <v/>
      </c>
      <c r="N207" s="27">
        <f>IF(A207="","",IFERROR(I207*INDEX(Parámetros!$C$8:$C$20,MATCH(G207,Parámetros!$A$8:$A$20,0)),0))</f>
        <v/>
      </c>
      <c r="O207" s="27">
        <f>IF(A207="","",IFERROR(I207*INDEX(Parámetros!$D$8:$D$20,MATCH(G207,Parámetros!$A$8:$A$20,0)),0))</f>
        <v/>
      </c>
      <c r="P207" s="28">
        <f>IF(A207="","",M207*Parámetros!$B$3+Parámetros!$B$4)</f>
        <v/>
      </c>
      <c r="Q207" s="16" t="n"/>
      <c r="R207" s="28">
        <f>IF(A207="","",M207/1.21-N207-O207-P207-Q207)</f>
        <v/>
      </c>
      <c r="S207" s="29">
        <f>IF(OR(A207="",M207=0),"",R207/(M207/1.21))</f>
        <v/>
      </c>
      <c r="T207" s="25" t="n"/>
      <c r="U207" s="25" t="n"/>
      <c r="V207" s="25" t="n"/>
      <c r="W207" s="25" t="n"/>
      <c r="X207" s="26" t="n"/>
      <c r="Y207" s="26" t="n"/>
      <c r="Z207" s="25" t="n"/>
    </row>
    <row r="208">
      <c r="A208" s="25" t="n"/>
      <c r="B208" s="26" t="n"/>
      <c r="C208" s="25" t="n"/>
      <c r="D208" s="25" t="n"/>
      <c r="E208" s="25" t="n"/>
      <c r="F208" s="25" t="n"/>
      <c r="G208" s="25" t="n"/>
      <c r="H208" s="25" t="n"/>
      <c r="I208" s="25" t="n"/>
      <c r="J208" s="27">
        <f>IF(G208="","",IFERROR(INDEX(Parámetros!$B$8:$B$20,MATCH(G208,Parámetros!$A$8:$A$20,0)),""))</f>
        <v/>
      </c>
      <c r="K208" s="16" t="n"/>
      <c r="L208" s="16" t="n"/>
      <c r="M208" s="28">
        <f>IF(A208="","",I208*J208-K208+L208)</f>
        <v/>
      </c>
      <c r="N208" s="27">
        <f>IF(A208="","",IFERROR(I208*INDEX(Parámetros!$C$8:$C$20,MATCH(G208,Parámetros!$A$8:$A$20,0)),0))</f>
        <v/>
      </c>
      <c r="O208" s="27">
        <f>IF(A208="","",IFERROR(I208*INDEX(Parámetros!$D$8:$D$20,MATCH(G208,Parámetros!$A$8:$A$20,0)),0))</f>
        <v/>
      </c>
      <c r="P208" s="28">
        <f>IF(A208="","",M208*Parámetros!$B$3+Parámetros!$B$4)</f>
        <v/>
      </c>
      <c r="Q208" s="16" t="n"/>
      <c r="R208" s="28">
        <f>IF(A208="","",M208/1.21-N208-O208-P208-Q208)</f>
        <v/>
      </c>
      <c r="S208" s="29">
        <f>IF(OR(A208="",M208=0),"",R208/(M208/1.21))</f>
        <v/>
      </c>
      <c r="T208" s="25" t="n"/>
      <c r="U208" s="25" t="n"/>
      <c r="V208" s="25" t="n"/>
      <c r="W208" s="25" t="n"/>
      <c r="X208" s="26" t="n"/>
      <c r="Y208" s="26" t="n"/>
      <c r="Z208" s="25" t="n"/>
    </row>
    <row r="209">
      <c r="A209" s="25" t="n"/>
      <c r="B209" s="26" t="n"/>
      <c r="C209" s="25" t="n"/>
      <c r="D209" s="25" t="n"/>
      <c r="E209" s="25" t="n"/>
      <c r="F209" s="25" t="n"/>
      <c r="G209" s="25" t="n"/>
      <c r="H209" s="25" t="n"/>
      <c r="I209" s="25" t="n"/>
      <c r="J209" s="27">
        <f>IF(G209="","",IFERROR(INDEX(Parámetros!$B$8:$B$20,MATCH(G209,Parámetros!$A$8:$A$20,0)),""))</f>
        <v/>
      </c>
      <c r="K209" s="16" t="n"/>
      <c r="L209" s="16" t="n"/>
      <c r="M209" s="28">
        <f>IF(A209="","",I209*J209-K209+L209)</f>
        <v/>
      </c>
      <c r="N209" s="27">
        <f>IF(A209="","",IFERROR(I209*INDEX(Parámetros!$C$8:$C$20,MATCH(G209,Parámetros!$A$8:$A$20,0)),0))</f>
        <v/>
      </c>
      <c r="O209" s="27">
        <f>IF(A209="","",IFERROR(I209*INDEX(Parámetros!$D$8:$D$20,MATCH(G209,Parámetros!$A$8:$A$20,0)),0))</f>
        <v/>
      </c>
      <c r="P209" s="28">
        <f>IF(A209="","",M209*Parámetros!$B$3+Parámetros!$B$4)</f>
        <v/>
      </c>
      <c r="Q209" s="16" t="n"/>
      <c r="R209" s="28">
        <f>IF(A209="","",M209/1.21-N209-O209-P209-Q209)</f>
        <v/>
      </c>
      <c r="S209" s="29">
        <f>IF(OR(A209="",M209=0),"",R209/(M209/1.21))</f>
        <v/>
      </c>
      <c r="T209" s="25" t="n"/>
      <c r="U209" s="25" t="n"/>
      <c r="V209" s="25" t="n"/>
      <c r="W209" s="25" t="n"/>
      <c r="X209" s="26" t="n"/>
      <c r="Y209" s="26" t="n"/>
      <c r="Z209" s="25" t="n"/>
    </row>
    <row r="210">
      <c r="A210" s="25" t="n"/>
      <c r="B210" s="26" t="n"/>
      <c r="C210" s="25" t="n"/>
      <c r="D210" s="25" t="n"/>
      <c r="E210" s="25" t="n"/>
      <c r="F210" s="25" t="n"/>
      <c r="G210" s="25" t="n"/>
      <c r="H210" s="25" t="n"/>
      <c r="I210" s="25" t="n"/>
      <c r="J210" s="27">
        <f>IF(G210="","",IFERROR(INDEX(Parámetros!$B$8:$B$20,MATCH(G210,Parámetros!$A$8:$A$20,0)),""))</f>
        <v/>
      </c>
      <c r="K210" s="16" t="n"/>
      <c r="L210" s="16" t="n"/>
      <c r="M210" s="28">
        <f>IF(A210="","",I210*J210-K210+L210)</f>
        <v/>
      </c>
      <c r="N210" s="27">
        <f>IF(A210="","",IFERROR(I210*INDEX(Parámetros!$C$8:$C$20,MATCH(G210,Parámetros!$A$8:$A$20,0)),0))</f>
        <v/>
      </c>
      <c r="O210" s="27">
        <f>IF(A210="","",IFERROR(I210*INDEX(Parámetros!$D$8:$D$20,MATCH(G210,Parámetros!$A$8:$A$20,0)),0))</f>
        <v/>
      </c>
      <c r="P210" s="28">
        <f>IF(A210="","",M210*Parámetros!$B$3+Parámetros!$B$4)</f>
        <v/>
      </c>
      <c r="Q210" s="16" t="n"/>
      <c r="R210" s="28">
        <f>IF(A210="","",M210/1.21-N210-O210-P210-Q210)</f>
        <v/>
      </c>
      <c r="S210" s="29">
        <f>IF(OR(A210="",M210=0),"",R210/(M210/1.21))</f>
        <v/>
      </c>
      <c r="T210" s="25" t="n"/>
      <c r="U210" s="25" t="n"/>
      <c r="V210" s="25" t="n"/>
      <c r="W210" s="25" t="n"/>
      <c r="X210" s="26" t="n"/>
      <c r="Y210" s="26" t="n"/>
      <c r="Z210" s="25" t="n"/>
    </row>
    <row r="211">
      <c r="A211" s="25" t="n"/>
      <c r="B211" s="26" t="n"/>
      <c r="C211" s="25" t="n"/>
      <c r="D211" s="25" t="n"/>
      <c r="E211" s="25" t="n"/>
      <c r="F211" s="25" t="n"/>
      <c r="G211" s="25" t="n"/>
      <c r="H211" s="25" t="n"/>
      <c r="I211" s="25" t="n"/>
      <c r="J211" s="27">
        <f>IF(G211="","",IFERROR(INDEX(Parámetros!$B$8:$B$20,MATCH(G211,Parámetros!$A$8:$A$20,0)),""))</f>
        <v/>
      </c>
      <c r="K211" s="16" t="n"/>
      <c r="L211" s="16" t="n"/>
      <c r="M211" s="28">
        <f>IF(A211="","",I211*J211-K211+L211)</f>
        <v/>
      </c>
      <c r="N211" s="27">
        <f>IF(A211="","",IFERROR(I211*INDEX(Parámetros!$C$8:$C$20,MATCH(G211,Parámetros!$A$8:$A$20,0)),0))</f>
        <v/>
      </c>
      <c r="O211" s="27">
        <f>IF(A211="","",IFERROR(I211*INDEX(Parámetros!$D$8:$D$20,MATCH(G211,Parámetros!$A$8:$A$20,0)),0))</f>
        <v/>
      </c>
      <c r="P211" s="28">
        <f>IF(A211="","",M211*Parámetros!$B$3+Parámetros!$B$4)</f>
        <v/>
      </c>
      <c r="Q211" s="16" t="n"/>
      <c r="R211" s="28">
        <f>IF(A211="","",M211/1.21-N211-O211-P211-Q211)</f>
        <v/>
      </c>
      <c r="S211" s="29">
        <f>IF(OR(A211="",M211=0),"",R211/(M211/1.21))</f>
        <v/>
      </c>
      <c r="T211" s="25" t="n"/>
      <c r="U211" s="25" t="n"/>
      <c r="V211" s="25" t="n"/>
      <c r="W211" s="25" t="n"/>
      <c r="X211" s="26" t="n"/>
      <c r="Y211" s="26" t="n"/>
      <c r="Z211" s="25" t="n"/>
    </row>
    <row r="212">
      <c r="A212" s="25" t="n"/>
      <c r="B212" s="26" t="n"/>
      <c r="C212" s="25" t="n"/>
      <c r="D212" s="25" t="n"/>
      <c r="E212" s="25" t="n"/>
      <c r="F212" s="25" t="n"/>
      <c r="G212" s="25" t="n"/>
      <c r="H212" s="25" t="n"/>
      <c r="I212" s="25" t="n"/>
      <c r="J212" s="27">
        <f>IF(G212="","",IFERROR(INDEX(Parámetros!$B$8:$B$20,MATCH(G212,Parámetros!$A$8:$A$20,0)),""))</f>
        <v/>
      </c>
      <c r="K212" s="16" t="n"/>
      <c r="L212" s="16" t="n"/>
      <c r="M212" s="28">
        <f>IF(A212="","",I212*J212-K212+L212)</f>
        <v/>
      </c>
      <c r="N212" s="27">
        <f>IF(A212="","",IFERROR(I212*INDEX(Parámetros!$C$8:$C$20,MATCH(G212,Parámetros!$A$8:$A$20,0)),0))</f>
        <v/>
      </c>
      <c r="O212" s="27">
        <f>IF(A212="","",IFERROR(I212*INDEX(Parámetros!$D$8:$D$20,MATCH(G212,Parámetros!$A$8:$A$20,0)),0))</f>
        <v/>
      </c>
      <c r="P212" s="28">
        <f>IF(A212="","",M212*Parámetros!$B$3+Parámetros!$B$4)</f>
        <v/>
      </c>
      <c r="Q212" s="16" t="n"/>
      <c r="R212" s="28">
        <f>IF(A212="","",M212/1.21-N212-O212-P212-Q212)</f>
        <v/>
      </c>
      <c r="S212" s="29">
        <f>IF(OR(A212="",M212=0),"",R212/(M212/1.21))</f>
        <v/>
      </c>
      <c r="T212" s="25" t="n"/>
      <c r="U212" s="25" t="n"/>
      <c r="V212" s="25" t="n"/>
      <c r="W212" s="25" t="n"/>
      <c r="X212" s="26" t="n"/>
      <c r="Y212" s="26" t="n"/>
      <c r="Z212" s="25" t="n"/>
    </row>
    <row r="213">
      <c r="A213" s="25" t="n"/>
      <c r="B213" s="26" t="n"/>
      <c r="C213" s="25" t="n"/>
      <c r="D213" s="25" t="n"/>
      <c r="E213" s="25" t="n"/>
      <c r="F213" s="25" t="n"/>
      <c r="G213" s="25" t="n"/>
      <c r="H213" s="25" t="n"/>
      <c r="I213" s="25" t="n"/>
      <c r="J213" s="27">
        <f>IF(G213="","",IFERROR(INDEX(Parámetros!$B$8:$B$20,MATCH(G213,Parámetros!$A$8:$A$20,0)),""))</f>
        <v/>
      </c>
      <c r="K213" s="16" t="n"/>
      <c r="L213" s="16" t="n"/>
      <c r="M213" s="28">
        <f>IF(A213="","",I213*J213-K213+L213)</f>
        <v/>
      </c>
      <c r="N213" s="27">
        <f>IF(A213="","",IFERROR(I213*INDEX(Parámetros!$C$8:$C$20,MATCH(G213,Parámetros!$A$8:$A$20,0)),0))</f>
        <v/>
      </c>
      <c r="O213" s="27">
        <f>IF(A213="","",IFERROR(I213*INDEX(Parámetros!$D$8:$D$20,MATCH(G213,Parámetros!$A$8:$A$20,0)),0))</f>
        <v/>
      </c>
      <c r="P213" s="28">
        <f>IF(A213="","",M213*Parámetros!$B$3+Parámetros!$B$4)</f>
        <v/>
      </c>
      <c r="Q213" s="16" t="n"/>
      <c r="R213" s="28">
        <f>IF(A213="","",M213/1.21-N213-O213-P213-Q213)</f>
        <v/>
      </c>
      <c r="S213" s="29">
        <f>IF(OR(A213="",M213=0),"",R213/(M213/1.21))</f>
        <v/>
      </c>
      <c r="T213" s="25" t="n"/>
      <c r="U213" s="25" t="n"/>
      <c r="V213" s="25" t="n"/>
      <c r="W213" s="25" t="n"/>
      <c r="X213" s="26" t="n"/>
      <c r="Y213" s="26" t="n"/>
      <c r="Z213" s="25" t="n"/>
    </row>
    <row r="214">
      <c r="A214" s="25" t="n"/>
      <c r="B214" s="26" t="n"/>
      <c r="C214" s="25" t="n"/>
      <c r="D214" s="25" t="n"/>
      <c r="E214" s="25" t="n"/>
      <c r="F214" s="25" t="n"/>
      <c r="G214" s="25" t="n"/>
      <c r="H214" s="25" t="n"/>
      <c r="I214" s="25" t="n"/>
      <c r="J214" s="27">
        <f>IF(G214="","",IFERROR(INDEX(Parámetros!$B$8:$B$20,MATCH(G214,Parámetros!$A$8:$A$20,0)),""))</f>
        <v/>
      </c>
      <c r="K214" s="16" t="n"/>
      <c r="L214" s="16" t="n"/>
      <c r="M214" s="28">
        <f>IF(A214="","",I214*J214-K214+L214)</f>
        <v/>
      </c>
      <c r="N214" s="27">
        <f>IF(A214="","",IFERROR(I214*INDEX(Parámetros!$C$8:$C$20,MATCH(G214,Parámetros!$A$8:$A$20,0)),0))</f>
        <v/>
      </c>
      <c r="O214" s="27">
        <f>IF(A214="","",IFERROR(I214*INDEX(Parámetros!$D$8:$D$20,MATCH(G214,Parámetros!$A$8:$A$20,0)),0))</f>
        <v/>
      </c>
      <c r="P214" s="28">
        <f>IF(A214="","",M214*Parámetros!$B$3+Parámetros!$B$4)</f>
        <v/>
      </c>
      <c r="Q214" s="16" t="n"/>
      <c r="R214" s="28">
        <f>IF(A214="","",M214/1.21-N214-O214-P214-Q214)</f>
        <v/>
      </c>
      <c r="S214" s="29">
        <f>IF(OR(A214="",M214=0),"",R214/(M214/1.21))</f>
        <v/>
      </c>
      <c r="T214" s="25" t="n"/>
      <c r="U214" s="25" t="n"/>
      <c r="V214" s="25" t="n"/>
      <c r="W214" s="25" t="n"/>
      <c r="X214" s="26" t="n"/>
      <c r="Y214" s="26" t="n"/>
      <c r="Z214" s="25" t="n"/>
    </row>
    <row r="215">
      <c r="A215" s="25" t="n"/>
      <c r="B215" s="26" t="n"/>
      <c r="C215" s="25" t="n"/>
      <c r="D215" s="25" t="n"/>
      <c r="E215" s="25" t="n"/>
      <c r="F215" s="25" t="n"/>
      <c r="G215" s="25" t="n"/>
      <c r="H215" s="25" t="n"/>
      <c r="I215" s="25" t="n"/>
      <c r="J215" s="27">
        <f>IF(G215="","",IFERROR(INDEX(Parámetros!$B$8:$B$20,MATCH(G215,Parámetros!$A$8:$A$20,0)),""))</f>
        <v/>
      </c>
      <c r="K215" s="16" t="n"/>
      <c r="L215" s="16" t="n"/>
      <c r="M215" s="28">
        <f>IF(A215="","",I215*J215-K215+L215)</f>
        <v/>
      </c>
      <c r="N215" s="27">
        <f>IF(A215="","",IFERROR(I215*INDEX(Parámetros!$C$8:$C$20,MATCH(G215,Parámetros!$A$8:$A$20,0)),0))</f>
        <v/>
      </c>
      <c r="O215" s="27">
        <f>IF(A215="","",IFERROR(I215*INDEX(Parámetros!$D$8:$D$20,MATCH(G215,Parámetros!$A$8:$A$20,0)),0))</f>
        <v/>
      </c>
      <c r="P215" s="28">
        <f>IF(A215="","",M215*Parámetros!$B$3+Parámetros!$B$4)</f>
        <v/>
      </c>
      <c r="Q215" s="16" t="n"/>
      <c r="R215" s="28">
        <f>IF(A215="","",M215/1.21-N215-O215-P215-Q215)</f>
        <v/>
      </c>
      <c r="S215" s="29">
        <f>IF(OR(A215="",M215=0),"",R215/(M215/1.21))</f>
        <v/>
      </c>
      <c r="T215" s="25" t="n"/>
      <c r="U215" s="25" t="n"/>
      <c r="V215" s="25" t="n"/>
      <c r="W215" s="25" t="n"/>
      <c r="X215" s="26" t="n"/>
      <c r="Y215" s="26" t="n"/>
      <c r="Z215" s="25" t="n"/>
    </row>
    <row r="216">
      <c r="A216" s="25" t="n"/>
      <c r="B216" s="26" t="n"/>
      <c r="C216" s="25" t="n"/>
      <c r="D216" s="25" t="n"/>
      <c r="E216" s="25" t="n"/>
      <c r="F216" s="25" t="n"/>
      <c r="G216" s="25" t="n"/>
      <c r="H216" s="25" t="n"/>
      <c r="I216" s="25" t="n"/>
      <c r="J216" s="27">
        <f>IF(G216="","",IFERROR(INDEX(Parámetros!$B$8:$B$20,MATCH(G216,Parámetros!$A$8:$A$20,0)),""))</f>
        <v/>
      </c>
      <c r="K216" s="16" t="n"/>
      <c r="L216" s="16" t="n"/>
      <c r="M216" s="28">
        <f>IF(A216="","",I216*J216-K216+L216)</f>
        <v/>
      </c>
      <c r="N216" s="27">
        <f>IF(A216="","",IFERROR(I216*INDEX(Parámetros!$C$8:$C$20,MATCH(G216,Parámetros!$A$8:$A$20,0)),0))</f>
        <v/>
      </c>
      <c r="O216" s="27">
        <f>IF(A216="","",IFERROR(I216*INDEX(Parámetros!$D$8:$D$20,MATCH(G216,Parámetros!$A$8:$A$20,0)),0))</f>
        <v/>
      </c>
      <c r="P216" s="28">
        <f>IF(A216="","",M216*Parámetros!$B$3+Parámetros!$B$4)</f>
        <v/>
      </c>
      <c r="Q216" s="16" t="n"/>
      <c r="R216" s="28">
        <f>IF(A216="","",M216/1.21-N216-O216-P216-Q216)</f>
        <v/>
      </c>
      <c r="S216" s="29">
        <f>IF(OR(A216="",M216=0),"",R216/(M216/1.21))</f>
        <v/>
      </c>
      <c r="T216" s="25" t="n"/>
      <c r="U216" s="25" t="n"/>
      <c r="V216" s="25" t="n"/>
      <c r="W216" s="25" t="n"/>
      <c r="X216" s="26" t="n"/>
      <c r="Y216" s="26" t="n"/>
      <c r="Z216" s="25" t="n"/>
    </row>
    <row r="217">
      <c r="A217" s="25" t="n"/>
      <c r="B217" s="26" t="n"/>
      <c r="C217" s="25" t="n"/>
      <c r="D217" s="25" t="n"/>
      <c r="E217" s="25" t="n"/>
      <c r="F217" s="25" t="n"/>
      <c r="G217" s="25" t="n"/>
      <c r="H217" s="25" t="n"/>
      <c r="I217" s="25" t="n"/>
      <c r="J217" s="27">
        <f>IF(G217="","",IFERROR(INDEX(Parámetros!$B$8:$B$20,MATCH(G217,Parámetros!$A$8:$A$20,0)),""))</f>
        <v/>
      </c>
      <c r="K217" s="16" t="n"/>
      <c r="L217" s="16" t="n"/>
      <c r="M217" s="28">
        <f>IF(A217="","",I217*J217-K217+L217)</f>
        <v/>
      </c>
      <c r="N217" s="27">
        <f>IF(A217="","",IFERROR(I217*INDEX(Parámetros!$C$8:$C$20,MATCH(G217,Parámetros!$A$8:$A$20,0)),0))</f>
        <v/>
      </c>
      <c r="O217" s="27">
        <f>IF(A217="","",IFERROR(I217*INDEX(Parámetros!$D$8:$D$20,MATCH(G217,Parámetros!$A$8:$A$20,0)),0))</f>
        <v/>
      </c>
      <c r="P217" s="28">
        <f>IF(A217="","",M217*Parámetros!$B$3+Parámetros!$B$4)</f>
        <v/>
      </c>
      <c r="Q217" s="16" t="n"/>
      <c r="R217" s="28">
        <f>IF(A217="","",M217/1.21-N217-O217-P217-Q217)</f>
        <v/>
      </c>
      <c r="S217" s="29">
        <f>IF(OR(A217="",M217=0),"",R217/(M217/1.21))</f>
        <v/>
      </c>
      <c r="T217" s="25" t="n"/>
      <c r="U217" s="25" t="n"/>
      <c r="V217" s="25" t="n"/>
      <c r="W217" s="25" t="n"/>
      <c r="X217" s="26" t="n"/>
      <c r="Y217" s="26" t="n"/>
      <c r="Z217" s="25" t="n"/>
    </row>
    <row r="218">
      <c r="A218" s="25" t="n"/>
      <c r="B218" s="26" t="n"/>
      <c r="C218" s="25" t="n"/>
      <c r="D218" s="25" t="n"/>
      <c r="E218" s="25" t="n"/>
      <c r="F218" s="25" t="n"/>
      <c r="G218" s="25" t="n"/>
      <c r="H218" s="25" t="n"/>
      <c r="I218" s="25" t="n"/>
      <c r="J218" s="27">
        <f>IF(G218="","",IFERROR(INDEX(Parámetros!$B$8:$B$20,MATCH(G218,Parámetros!$A$8:$A$20,0)),""))</f>
        <v/>
      </c>
      <c r="K218" s="16" t="n"/>
      <c r="L218" s="16" t="n"/>
      <c r="M218" s="28">
        <f>IF(A218="","",I218*J218-K218+L218)</f>
        <v/>
      </c>
      <c r="N218" s="27">
        <f>IF(A218="","",IFERROR(I218*INDEX(Parámetros!$C$8:$C$20,MATCH(G218,Parámetros!$A$8:$A$20,0)),0))</f>
        <v/>
      </c>
      <c r="O218" s="27">
        <f>IF(A218="","",IFERROR(I218*INDEX(Parámetros!$D$8:$D$20,MATCH(G218,Parámetros!$A$8:$A$20,0)),0))</f>
        <v/>
      </c>
      <c r="P218" s="28">
        <f>IF(A218="","",M218*Parámetros!$B$3+Parámetros!$B$4)</f>
        <v/>
      </c>
      <c r="Q218" s="16" t="n"/>
      <c r="R218" s="28">
        <f>IF(A218="","",M218/1.21-N218-O218-P218-Q218)</f>
        <v/>
      </c>
      <c r="S218" s="29">
        <f>IF(OR(A218="",M218=0),"",R218/(M218/1.21))</f>
        <v/>
      </c>
      <c r="T218" s="25" t="n"/>
      <c r="U218" s="25" t="n"/>
      <c r="V218" s="25" t="n"/>
      <c r="W218" s="25" t="n"/>
      <c r="X218" s="26" t="n"/>
      <c r="Y218" s="26" t="n"/>
      <c r="Z218" s="25" t="n"/>
    </row>
    <row r="219">
      <c r="A219" s="25" t="n"/>
      <c r="B219" s="26" t="n"/>
      <c r="C219" s="25" t="n"/>
      <c r="D219" s="25" t="n"/>
      <c r="E219" s="25" t="n"/>
      <c r="F219" s="25" t="n"/>
      <c r="G219" s="25" t="n"/>
      <c r="H219" s="25" t="n"/>
      <c r="I219" s="25" t="n"/>
      <c r="J219" s="27">
        <f>IF(G219="","",IFERROR(INDEX(Parámetros!$B$8:$B$20,MATCH(G219,Parámetros!$A$8:$A$20,0)),""))</f>
        <v/>
      </c>
      <c r="K219" s="16" t="n"/>
      <c r="L219" s="16" t="n"/>
      <c r="M219" s="28">
        <f>IF(A219="","",I219*J219-K219+L219)</f>
        <v/>
      </c>
      <c r="N219" s="27">
        <f>IF(A219="","",IFERROR(I219*INDEX(Parámetros!$C$8:$C$20,MATCH(G219,Parámetros!$A$8:$A$20,0)),0))</f>
        <v/>
      </c>
      <c r="O219" s="27">
        <f>IF(A219="","",IFERROR(I219*INDEX(Parámetros!$D$8:$D$20,MATCH(G219,Parámetros!$A$8:$A$20,0)),0))</f>
        <v/>
      </c>
      <c r="P219" s="28">
        <f>IF(A219="","",M219*Parámetros!$B$3+Parámetros!$B$4)</f>
        <v/>
      </c>
      <c r="Q219" s="16" t="n"/>
      <c r="R219" s="28">
        <f>IF(A219="","",M219/1.21-N219-O219-P219-Q219)</f>
        <v/>
      </c>
      <c r="S219" s="29">
        <f>IF(OR(A219="",M219=0),"",R219/(M219/1.21))</f>
        <v/>
      </c>
      <c r="T219" s="25" t="n"/>
      <c r="U219" s="25" t="n"/>
      <c r="V219" s="25" t="n"/>
      <c r="W219" s="25" t="n"/>
      <c r="X219" s="26" t="n"/>
      <c r="Y219" s="26" t="n"/>
      <c r="Z219" s="25" t="n"/>
    </row>
    <row r="220">
      <c r="A220" s="25" t="n"/>
      <c r="B220" s="26" t="n"/>
      <c r="C220" s="25" t="n"/>
      <c r="D220" s="25" t="n"/>
      <c r="E220" s="25" t="n"/>
      <c r="F220" s="25" t="n"/>
      <c r="G220" s="25" t="n"/>
      <c r="H220" s="25" t="n"/>
      <c r="I220" s="25" t="n"/>
      <c r="J220" s="27">
        <f>IF(G220="","",IFERROR(INDEX(Parámetros!$B$8:$B$20,MATCH(G220,Parámetros!$A$8:$A$20,0)),""))</f>
        <v/>
      </c>
      <c r="K220" s="16" t="n"/>
      <c r="L220" s="16" t="n"/>
      <c r="M220" s="28">
        <f>IF(A220="","",I220*J220-K220+L220)</f>
        <v/>
      </c>
      <c r="N220" s="27">
        <f>IF(A220="","",IFERROR(I220*INDEX(Parámetros!$C$8:$C$20,MATCH(G220,Parámetros!$A$8:$A$20,0)),0))</f>
        <v/>
      </c>
      <c r="O220" s="27">
        <f>IF(A220="","",IFERROR(I220*INDEX(Parámetros!$D$8:$D$20,MATCH(G220,Parámetros!$A$8:$A$20,0)),0))</f>
        <v/>
      </c>
      <c r="P220" s="28">
        <f>IF(A220="","",M220*Parámetros!$B$3+Parámetros!$B$4)</f>
        <v/>
      </c>
      <c r="Q220" s="16" t="n"/>
      <c r="R220" s="28">
        <f>IF(A220="","",M220/1.21-N220-O220-P220-Q220)</f>
        <v/>
      </c>
      <c r="S220" s="29">
        <f>IF(OR(A220="",M220=0),"",R220/(M220/1.21))</f>
        <v/>
      </c>
      <c r="T220" s="25" t="n"/>
      <c r="U220" s="25" t="n"/>
      <c r="V220" s="25" t="n"/>
      <c r="W220" s="25" t="n"/>
      <c r="X220" s="26" t="n"/>
      <c r="Y220" s="26" t="n"/>
      <c r="Z220" s="25" t="n"/>
    </row>
    <row r="221">
      <c r="A221" s="25" t="n"/>
      <c r="B221" s="26" t="n"/>
      <c r="C221" s="25" t="n"/>
      <c r="D221" s="25" t="n"/>
      <c r="E221" s="25" t="n"/>
      <c r="F221" s="25" t="n"/>
      <c r="G221" s="25" t="n"/>
      <c r="H221" s="25" t="n"/>
      <c r="I221" s="25" t="n"/>
      <c r="J221" s="27">
        <f>IF(G221="","",IFERROR(INDEX(Parámetros!$B$8:$B$20,MATCH(G221,Parámetros!$A$8:$A$20,0)),""))</f>
        <v/>
      </c>
      <c r="K221" s="16" t="n"/>
      <c r="L221" s="16" t="n"/>
      <c r="M221" s="28">
        <f>IF(A221="","",I221*J221-K221+L221)</f>
        <v/>
      </c>
      <c r="N221" s="27">
        <f>IF(A221="","",IFERROR(I221*INDEX(Parámetros!$C$8:$C$20,MATCH(G221,Parámetros!$A$8:$A$20,0)),0))</f>
        <v/>
      </c>
      <c r="O221" s="27">
        <f>IF(A221="","",IFERROR(I221*INDEX(Parámetros!$D$8:$D$20,MATCH(G221,Parámetros!$A$8:$A$20,0)),0))</f>
        <v/>
      </c>
      <c r="P221" s="28">
        <f>IF(A221="","",M221*Parámetros!$B$3+Parámetros!$B$4)</f>
        <v/>
      </c>
      <c r="Q221" s="16" t="n"/>
      <c r="R221" s="28">
        <f>IF(A221="","",M221/1.21-N221-O221-P221-Q221)</f>
        <v/>
      </c>
      <c r="S221" s="29">
        <f>IF(OR(A221="",M221=0),"",R221/(M221/1.21))</f>
        <v/>
      </c>
      <c r="T221" s="25" t="n"/>
      <c r="U221" s="25" t="n"/>
      <c r="V221" s="25" t="n"/>
      <c r="W221" s="25" t="n"/>
      <c r="X221" s="26" t="n"/>
      <c r="Y221" s="26" t="n"/>
      <c r="Z221" s="25" t="n"/>
    </row>
    <row r="222">
      <c r="A222" s="25" t="n"/>
      <c r="B222" s="26" t="n"/>
      <c r="C222" s="25" t="n"/>
      <c r="D222" s="25" t="n"/>
      <c r="E222" s="25" t="n"/>
      <c r="F222" s="25" t="n"/>
      <c r="G222" s="25" t="n"/>
      <c r="H222" s="25" t="n"/>
      <c r="I222" s="25" t="n"/>
      <c r="J222" s="27">
        <f>IF(G222="","",IFERROR(INDEX(Parámetros!$B$8:$B$20,MATCH(G222,Parámetros!$A$8:$A$20,0)),""))</f>
        <v/>
      </c>
      <c r="K222" s="16" t="n"/>
      <c r="L222" s="16" t="n"/>
      <c r="M222" s="28">
        <f>IF(A222="","",I222*J222-K222+L222)</f>
        <v/>
      </c>
      <c r="N222" s="27">
        <f>IF(A222="","",IFERROR(I222*INDEX(Parámetros!$C$8:$C$20,MATCH(G222,Parámetros!$A$8:$A$20,0)),0))</f>
        <v/>
      </c>
      <c r="O222" s="27">
        <f>IF(A222="","",IFERROR(I222*INDEX(Parámetros!$D$8:$D$20,MATCH(G222,Parámetros!$A$8:$A$20,0)),0))</f>
        <v/>
      </c>
      <c r="P222" s="28">
        <f>IF(A222="","",M222*Parámetros!$B$3+Parámetros!$B$4)</f>
        <v/>
      </c>
      <c r="Q222" s="16" t="n"/>
      <c r="R222" s="28">
        <f>IF(A222="","",M222/1.21-N222-O222-P222-Q222)</f>
        <v/>
      </c>
      <c r="S222" s="29">
        <f>IF(OR(A222="",M222=0),"",R222/(M222/1.21))</f>
        <v/>
      </c>
      <c r="T222" s="25" t="n"/>
      <c r="U222" s="25" t="n"/>
      <c r="V222" s="25" t="n"/>
      <c r="W222" s="25" t="n"/>
      <c r="X222" s="26" t="n"/>
      <c r="Y222" s="26" t="n"/>
      <c r="Z222" s="25" t="n"/>
    </row>
    <row r="223">
      <c r="A223" s="25" t="n"/>
      <c r="B223" s="26" t="n"/>
      <c r="C223" s="25" t="n"/>
      <c r="D223" s="25" t="n"/>
      <c r="E223" s="25" t="n"/>
      <c r="F223" s="25" t="n"/>
      <c r="G223" s="25" t="n"/>
      <c r="H223" s="25" t="n"/>
      <c r="I223" s="25" t="n"/>
      <c r="J223" s="27">
        <f>IF(G223="","",IFERROR(INDEX(Parámetros!$B$8:$B$20,MATCH(G223,Parámetros!$A$8:$A$20,0)),""))</f>
        <v/>
      </c>
      <c r="K223" s="16" t="n"/>
      <c r="L223" s="16" t="n"/>
      <c r="M223" s="28">
        <f>IF(A223="","",I223*J223-K223+L223)</f>
        <v/>
      </c>
      <c r="N223" s="27">
        <f>IF(A223="","",IFERROR(I223*INDEX(Parámetros!$C$8:$C$20,MATCH(G223,Parámetros!$A$8:$A$20,0)),0))</f>
        <v/>
      </c>
      <c r="O223" s="27">
        <f>IF(A223="","",IFERROR(I223*INDEX(Parámetros!$D$8:$D$20,MATCH(G223,Parámetros!$A$8:$A$20,0)),0))</f>
        <v/>
      </c>
      <c r="P223" s="28">
        <f>IF(A223="","",M223*Parámetros!$B$3+Parámetros!$B$4)</f>
        <v/>
      </c>
      <c r="Q223" s="16" t="n"/>
      <c r="R223" s="28">
        <f>IF(A223="","",M223/1.21-N223-O223-P223-Q223)</f>
        <v/>
      </c>
      <c r="S223" s="29">
        <f>IF(OR(A223="",M223=0),"",R223/(M223/1.21))</f>
        <v/>
      </c>
      <c r="T223" s="25" t="n"/>
      <c r="U223" s="25" t="n"/>
      <c r="V223" s="25" t="n"/>
      <c r="W223" s="25" t="n"/>
      <c r="X223" s="26" t="n"/>
      <c r="Y223" s="26" t="n"/>
      <c r="Z223" s="25" t="n"/>
    </row>
    <row r="224">
      <c r="A224" s="25" t="n"/>
      <c r="B224" s="26" t="n"/>
      <c r="C224" s="25" t="n"/>
      <c r="D224" s="25" t="n"/>
      <c r="E224" s="25" t="n"/>
      <c r="F224" s="25" t="n"/>
      <c r="G224" s="25" t="n"/>
      <c r="H224" s="25" t="n"/>
      <c r="I224" s="25" t="n"/>
      <c r="J224" s="27">
        <f>IF(G224="","",IFERROR(INDEX(Parámetros!$B$8:$B$20,MATCH(G224,Parámetros!$A$8:$A$20,0)),""))</f>
        <v/>
      </c>
      <c r="K224" s="16" t="n"/>
      <c r="L224" s="16" t="n"/>
      <c r="M224" s="28">
        <f>IF(A224="","",I224*J224-K224+L224)</f>
        <v/>
      </c>
      <c r="N224" s="27">
        <f>IF(A224="","",IFERROR(I224*INDEX(Parámetros!$C$8:$C$20,MATCH(G224,Parámetros!$A$8:$A$20,0)),0))</f>
        <v/>
      </c>
      <c r="O224" s="27">
        <f>IF(A224="","",IFERROR(I224*INDEX(Parámetros!$D$8:$D$20,MATCH(G224,Parámetros!$A$8:$A$20,0)),0))</f>
        <v/>
      </c>
      <c r="P224" s="28">
        <f>IF(A224="","",M224*Parámetros!$B$3+Parámetros!$B$4)</f>
        <v/>
      </c>
      <c r="Q224" s="16" t="n"/>
      <c r="R224" s="28">
        <f>IF(A224="","",M224/1.21-N224-O224-P224-Q224)</f>
        <v/>
      </c>
      <c r="S224" s="29">
        <f>IF(OR(A224="",M224=0),"",R224/(M224/1.21))</f>
        <v/>
      </c>
      <c r="T224" s="25" t="n"/>
      <c r="U224" s="25" t="n"/>
      <c r="V224" s="25" t="n"/>
      <c r="W224" s="25" t="n"/>
      <c r="X224" s="26" t="n"/>
      <c r="Y224" s="26" t="n"/>
      <c r="Z224" s="25" t="n"/>
    </row>
    <row r="225">
      <c r="A225" s="25" t="n"/>
      <c r="B225" s="26" t="n"/>
      <c r="C225" s="25" t="n"/>
      <c r="D225" s="25" t="n"/>
      <c r="E225" s="25" t="n"/>
      <c r="F225" s="25" t="n"/>
      <c r="G225" s="25" t="n"/>
      <c r="H225" s="25" t="n"/>
      <c r="I225" s="25" t="n"/>
      <c r="J225" s="27">
        <f>IF(G225="","",IFERROR(INDEX(Parámetros!$B$8:$B$20,MATCH(G225,Parámetros!$A$8:$A$20,0)),""))</f>
        <v/>
      </c>
      <c r="K225" s="16" t="n"/>
      <c r="L225" s="16" t="n"/>
      <c r="M225" s="28">
        <f>IF(A225="","",I225*J225-K225+L225)</f>
        <v/>
      </c>
      <c r="N225" s="27">
        <f>IF(A225="","",IFERROR(I225*INDEX(Parámetros!$C$8:$C$20,MATCH(G225,Parámetros!$A$8:$A$20,0)),0))</f>
        <v/>
      </c>
      <c r="O225" s="27">
        <f>IF(A225="","",IFERROR(I225*INDEX(Parámetros!$D$8:$D$20,MATCH(G225,Parámetros!$A$8:$A$20,0)),0))</f>
        <v/>
      </c>
      <c r="P225" s="28">
        <f>IF(A225="","",M225*Parámetros!$B$3+Parámetros!$B$4)</f>
        <v/>
      </c>
      <c r="Q225" s="16" t="n"/>
      <c r="R225" s="28">
        <f>IF(A225="","",M225/1.21-N225-O225-P225-Q225)</f>
        <v/>
      </c>
      <c r="S225" s="29">
        <f>IF(OR(A225="",M225=0),"",R225/(M225/1.21))</f>
        <v/>
      </c>
      <c r="T225" s="25" t="n"/>
      <c r="U225" s="25" t="n"/>
      <c r="V225" s="25" t="n"/>
      <c r="W225" s="25" t="n"/>
      <c r="X225" s="26" t="n"/>
      <c r="Y225" s="26" t="n"/>
      <c r="Z225" s="25" t="n"/>
    </row>
    <row r="226">
      <c r="A226" s="25" t="n"/>
      <c r="B226" s="26" t="n"/>
      <c r="C226" s="25" t="n"/>
      <c r="D226" s="25" t="n"/>
      <c r="E226" s="25" t="n"/>
      <c r="F226" s="25" t="n"/>
      <c r="G226" s="25" t="n"/>
      <c r="H226" s="25" t="n"/>
      <c r="I226" s="25" t="n"/>
      <c r="J226" s="27">
        <f>IF(G226="","",IFERROR(INDEX(Parámetros!$B$8:$B$20,MATCH(G226,Parámetros!$A$8:$A$20,0)),""))</f>
        <v/>
      </c>
      <c r="K226" s="16" t="n"/>
      <c r="L226" s="16" t="n"/>
      <c r="M226" s="28">
        <f>IF(A226="","",I226*J226-K226+L226)</f>
        <v/>
      </c>
      <c r="N226" s="27">
        <f>IF(A226="","",IFERROR(I226*INDEX(Parámetros!$C$8:$C$20,MATCH(G226,Parámetros!$A$8:$A$20,0)),0))</f>
        <v/>
      </c>
      <c r="O226" s="27">
        <f>IF(A226="","",IFERROR(I226*INDEX(Parámetros!$D$8:$D$20,MATCH(G226,Parámetros!$A$8:$A$20,0)),0))</f>
        <v/>
      </c>
      <c r="P226" s="28">
        <f>IF(A226="","",M226*Parámetros!$B$3+Parámetros!$B$4)</f>
        <v/>
      </c>
      <c r="Q226" s="16" t="n"/>
      <c r="R226" s="28">
        <f>IF(A226="","",M226/1.21-N226-O226-P226-Q226)</f>
        <v/>
      </c>
      <c r="S226" s="29">
        <f>IF(OR(A226="",M226=0),"",R226/(M226/1.21))</f>
        <v/>
      </c>
      <c r="T226" s="25" t="n"/>
      <c r="U226" s="25" t="n"/>
      <c r="V226" s="25" t="n"/>
      <c r="W226" s="25" t="n"/>
      <c r="X226" s="26" t="n"/>
      <c r="Y226" s="26" t="n"/>
      <c r="Z226" s="25" t="n"/>
    </row>
    <row r="227">
      <c r="A227" s="25" t="n"/>
      <c r="B227" s="26" t="n"/>
      <c r="C227" s="25" t="n"/>
      <c r="D227" s="25" t="n"/>
      <c r="E227" s="25" t="n"/>
      <c r="F227" s="25" t="n"/>
      <c r="G227" s="25" t="n"/>
      <c r="H227" s="25" t="n"/>
      <c r="I227" s="25" t="n"/>
      <c r="J227" s="27">
        <f>IF(G227="","",IFERROR(INDEX(Parámetros!$B$8:$B$20,MATCH(G227,Parámetros!$A$8:$A$20,0)),""))</f>
        <v/>
      </c>
      <c r="K227" s="16" t="n"/>
      <c r="L227" s="16" t="n"/>
      <c r="M227" s="28">
        <f>IF(A227="","",I227*J227-K227+L227)</f>
        <v/>
      </c>
      <c r="N227" s="27">
        <f>IF(A227="","",IFERROR(I227*INDEX(Parámetros!$C$8:$C$20,MATCH(G227,Parámetros!$A$8:$A$20,0)),0))</f>
        <v/>
      </c>
      <c r="O227" s="27">
        <f>IF(A227="","",IFERROR(I227*INDEX(Parámetros!$D$8:$D$20,MATCH(G227,Parámetros!$A$8:$A$20,0)),0))</f>
        <v/>
      </c>
      <c r="P227" s="28">
        <f>IF(A227="","",M227*Parámetros!$B$3+Parámetros!$B$4)</f>
        <v/>
      </c>
      <c r="Q227" s="16" t="n"/>
      <c r="R227" s="28">
        <f>IF(A227="","",M227/1.21-N227-O227-P227-Q227)</f>
        <v/>
      </c>
      <c r="S227" s="29">
        <f>IF(OR(A227="",M227=0),"",R227/(M227/1.21))</f>
        <v/>
      </c>
      <c r="T227" s="25" t="n"/>
      <c r="U227" s="25" t="n"/>
      <c r="V227" s="25" t="n"/>
      <c r="W227" s="25" t="n"/>
      <c r="X227" s="26" t="n"/>
      <c r="Y227" s="26" t="n"/>
      <c r="Z227" s="25" t="n"/>
    </row>
    <row r="228">
      <c r="A228" s="25" t="n"/>
      <c r="B228" s="26" t="n"/>
      <c r="C228" s="25" t="n"/>
      <c r="D228" s="25" t="n"/>
      <c r="E228" s="25" t="n"/>
      <c r="F228" s="25" t="n"/>
      <c r="G228" s="25" t="n"/>
      <c r="H228" s="25" t="n"/>
      <c r="I228" s="25" t="n"/>
      <c r="J228" s="27">
        <f>IF(G228="","",IFERROR(INDEX(Parámetros!$B$8:$B$20,MATCH(G228,Parámetros!$A$8:$A$20,0)),""))</f>
        <v/>
      </c>
      <c r="K228" s="16" t="n"/>
      <c r="L228" s="16" t="n"/>
      <c r="M228" s="28">
        <f>IF(A228="","",I228*J228-K228+L228)</f>
        <v/>
      </c>
      <c r="N228" s="27">
        <f>IF(A228="","",IFERROR(I228*INDEX(Parámetros!$C$8:$C$20,MATCH(G228,Parámetros!$A$8:$A$20,0)),0))</f>
        <v/>
      </c>
      <c r="O228" s="27">
        <f>IF(A228="","",IFERROR(I228*INDEX(Parámetros!$D$8:$D$20,MATCH(G228,Parámetros!$A$8:$A$20,0)),0))</f>
        <v/>
      </c>
      <c r="P228" s="28">
        <f>IF(A228="","",M228*Parámetros!$B$3+Parámetros!$B$4)</f>
        <v/>
      </c>
      <c r="Q228" s="16" t="n"/>
      <c r="R228" s="28">
        <f>IF(A228="","",M228/1.21-N228-O228-P228-Q228)</f>
        <v/>
      </c>
      <c r="S228" s="29">
        <f>IF(OR(A228="",M228=0),"",R228/(M228/1.21))</f>
        <v/>
      </c>
      <c r="T228" s="25" t="n"/>
      <c r="U228" s="25" t="n"/>
      <c r="V228" s="25" t="n"/>
      <c r="W228" s="25" t="n"/>
      <c r="X228" s="26" t="n"/>
      <c r="Y228" s="26" t="n"/>
      <c r="Z228" s="25" t="n"/>
    </row>
    <row r="229">
      <c r="A229" s="25" t="n"/>
      <c r="B229" s="26" t="n"/>
      <c r="C229" s="25" t="n"/>
      <c r="D229" s="25" t="n"/>
      <c r="E229" s="25" t="n"/>
      <c r="F229" s="25" t="n"/>
      <c r="G229" s="25" t="n"/>
      <c r="H229" s="25" t="n"/>
      <c r="I229" s="25" t="n"/>
      <c r="J229" s="27">
        <f>IF(G229="","",IFERROR(INDEX(Parámetros!$B$8:$B$20,MATCH(G229,Parámetros!$A$8:$A$20,0)),""))</f>
        <v/>
      </c>
      <c r="K229" s="16" t="n"/>
      <c r="L229" s="16" t="n"/>
      <c r="M229" s="28">
        <f>IF(A229="","",I229*J229-K229+L229)</f>
        <v/>
      </c>
      <c r="N229" s="27">
        <f>IF(A229="","",IFERROR(I229*INDEX(Parámetros!$C$8:$C$20,MATCH(G229,Parámetros!$A$8:$A$20,0)),0))</f>
        <v/>
      </c>
      <c r="O229" s="27">
        <f>IF(A229="","",IFERROR(I229*INDEX(Parámetros!$D$8:$D$20,MATCH(G229,Parámetros!$A$8:$A$20,0)),0))</f>
        <v/>
      </c>
      <c r="P229" s="28">
        <f>IF(A229="","",M229*Parámetros!$B$3+Parámetros!$B$4)</f>
        <v/>
      </c>
      <c r="Q229" s="16" t="n"/>
      <c r="R229" s="28">
        <f>IF(A229="","",M229/1.21-N229-O229-P229-Q229)</f>
        <v/>
      </c>
      <c r="S229" s="29">
        <f>IF(OR(A229="",M229=0),"",R229/(M229/1.21))</f>
        <v/>
      </c>
      <c r="T229" s="25" t="n"/>
      <c r="U229" s="25" t="n"/>
      <c r="V229" s="25" t="n"/>
      <c r="W229" s="25" t="n"/>
      <c r="X229" s="26" t="n"/>
      <c r="Y229" s="26" t="n"/>
      <c r="Z229" s="25" t="n"/>
    </row>
    <row r="230">
      <c r="A230" s="25" t="n"/>
      <c r="B230" s="26" t="n"/>
      <c r="C230" s="25" t="n"/>
      <c r="D230" s="25" t="n"/>
      <c r="E230" s="25" t="n"/>
      <c r="F230" s="25" t="n"/>
      <c r="G230" s="25" t="n"/>
      <c r="H230" s="25" t="n"/>
      <c r="I230" s="25" t="n"/>
      <c r="J230" s="27">
        <f>IF(G230="","",IFERROR(INDEX(Parámetros!$B$8:$B$20,MATCH(G230,Parámetros!$A$8:$A$20,0)),""))</f>
        <v/>
      </c>
      <c r="K230" s="16" t="n"/>
      <c r="L230" s="16" t="n"/>
      <c r="M230" s="28">
        <f>IF(A230="","",I230*J230-K230+L230)</f>
        <v/>
      </c>
      <c r="N230" s="27">
        <f>IF(A230="","",IFERROR(I230*INDEX(Parámetros!$C$8:$C$20,MATCH(G230,Parámetros!$A$8:$A$20,0)),0))</f>
        <v/>
      </c>
      <c r="O230" s="27">
        <f>IF(A230="","",IFERROR(I230*INDEX(Parámetros!$D$8:$D$20,MATCH(G230,Parámetros!$A$8:$A$20,0)),0))</f>
        <v/>
      </c>
      <c r="P230" s="28">
        <f>IF(A230="","",M230*Parámetros!$B$3+Parámetros!$B$4)</f>
        <v/>
      </c>
      <c r="Q230" s="16" t="n"/>
      <c r="R230" s="28">
        <f>IF(A230="","",M230/1.21-N230-O230-P230-Q230)</f>
        <v/>
      </c>
      <c r="S230" s="29">
        <f>IF(OR(A230="",M230=0),"",R230/(M230/1.21))</f>
        <v/>
      </c>
      <c r="T230" s="25" t="n"/>
      <c r="U230" s="25" t="n"/>
      <c r="V230" s="25" t="n"/>
      <c r="W230" s="25" t="n"/>
      <c r="X230" s="26" t="n"/>
      <c r="Y230" s="26" t="n"/>
      <c r="Z230" s="25" t="n"/>
    </row>
    <row r="231">
      <c r="A231" s="25" t="n"/>
      <c r="B231" s="26" t="n"/>
      <c r="C231" s="25" t="n"/>
      <c r="D231" s="25" t="n"/>
      <c r="E231" s="25" t="n"/>
      <c r="F231" s="25" t="n"/>
      <c r="G231" s="25" t="n"/>
      <c r="H231" s="25" t="n"/>
      <c r="I231" s="25" t="n"/>
      <c r="J231" s="27">
        <f>IF(G231="","",IFERROR(INDEX(Parámetros!$B$8:$B$20,MATCH(G231,Parámetros!$A$8:$A$20,0)),""))</f>
        <v/>
      </c>
      <c r="K231" s="16" t="n"/>
      <c r="L231" s="16" t="n"/>
      <c r="M231" s="28">
        <f>IF(A231="","",I231*J231-K231+L231)</f>
        <v/>
      </c>
      <c r="N231" s="27">
        <f>IF(A231="","",IFERROR(I231*INDEX(Parámetros!$C$8:$C$20,MATCH(G231,Parámetros!$A$8:$A$20,0)),0))</f>
        <v/>
      </c>
      <c r="O231" s="27">
        <f>IF(A231="","",IFERROR(I231*INDEX(Parámetros!$D$8:$D$20,MATCH(G231,Parámetros!$A$8:$A$20,0)),0))</f>
        <v/>
      </c>
      <c r="P231" s="28">
        <f>IF(A231="","",M231*Parámetros!$B$3+Parámetros!$B$4)</f>
        <v/>
      </c>
      <c r="Q231" s="16" t="n"/>
      <c r="R231" s="28">
        <f>IF(A231="","",M231/1.21-N231-O231-P231-Q231)</f>
        <v/>
      </c>
      <c r="S231" s="29">
        <f>IF(OR(A231="",M231=0),"",R231/(M231/1.21))</f>
        <v/>
      </c>
      <c r="T231" s="25" t="n"/>
      <c r="U231" s="25" t="n"/>
      <c r="V231" s="25" t="n"/>
      <c r="W231" s="25" t="n"/>
      <c r="X231" s="26" t="n"/>
      <c r="Y231" s="26" t="n"/>
      <c r="Z231" s="25" t="n"/>
    </row>
    <row r="232">
      <c r="A232" s="25" t="n"/>
      <c r="B232" s="26" t="n"/>
      <c r="C232" s="25" t="n"/>
      <c r="D232" s="25" t="n"/>
      <c r="E232" s="25" t="n"/>
      <c r="F232" s="25" t="n"/>
      <c r="G232" s="25" t="n"/>
      <c r="H232" s="25" t="n"/>
      <c r="I232" s="25" t="n"/>
      <c r="J232" s="27">
        <f>IF(G232="","",IFERROR(INDEX(Parámetros!$B$8:$B$20,MATCH(G232,Parámetros!$A$8:$A$20,0)),""))</f>
        <v/>
      </c>
      <c r="K232" s="16" t="n"/>
      <c r="L232" s="16" t="n"/>
      <c r="M232" s="28">
        <f>IF(A232="","",I232*J232-K232+L232)</f>
        <v/>
      </c>
      <c r="N232" s="27">
        <f>IF(A232="","",IFERROR(I232*INDEX(Parámetros!$C$8:$C$20,MATCH(G232,Parámetros!$A$8:$A$20,0)),0))</f>
        <v/>
      </c>
      <c r="O232" s="27">
        <f>IF(A232="","",IFERROR(I232*INDEX(Parámetros!$D$8:$D$20,MATCH(G232,Parámetros!$A$8:$A$20,0)),0))</f>
        <v/>
      </c>
      <c r="P232" s="28">
        <f>IF(A232="","",M232*Parámetros!$B$3+Parámetros!$B$4)</f>
        <v/>
      </c>
      <c r="Q232" s="16" t="n"/>
      <c r="R232" s="28">
        <f>IF(A232="","",M232/1.21-N232-O232-P232-Q232)</f>
        <v/>
      </c>
      <c r="S232" s="29">
        <f>IF(OR(A232="",M232=0),"",R232/(M232/1.21))</f>
        <v/>
      </c>
      <c r="T232" s="25" t="n"/>
      <c r="U232" s="25" t="n"/>
      <c r="V232" s="25" t="n"/>
      <c r="W232" s="25" t="n"/>
      <c r="X232" s="26" t="n"/>
      <c r="Y232" s="26" t="n"/>
      <c r="Z232" s="25" t="n"/>
    </row>
    <row r="233">
      <c r="A233" s="25" t="n"/>
      <c r="B233" s="26" t="n"/>
      <c r="C233" s="25" t="n"/>
      <c r="D233" s="25" t="n"/>
      <c r="E233" s="25" t="n"/>
      <c r="F233" s="25" t="n"/>
      <c r="G233" s="25" t="n"/>
      <c r="H233" s="25" t="n"/>
      <c r="I233" s="25" t="n"/>
      <c r="J233" s="27">
        <f>IF(G233="","",IFERROR(INDEX(Parámetros!$B$8:$B$20,MATCH(G233,Parámetros!$A$8:$A$20,0)),""))</f>
        <v/>
      </c>
      <c r="K233" s="16" t="n"/>
      <c r="L233" s="16" t="n"/>
      <c r="M233" s="28">
        <f>IF(A233="","",I233*J233-K233+L233)</f>
        <v/>
      </c>
      <c r="N233" s="27">
        <f>IF(A233="","",IFERROR(I233*INDEX(Parámetros!$C$8:$C$20,MATCH(G233,Parámetros!$A$8:$A$20,0)),0))</f>
        <v/>
      </c>
      <c r="O233" s="27">
        <f>IF(A233="","",IFERROR(I233*INDEX(Parámetros!$D$8:$D$20,MATCH(G233,Parámetros!$A$8:$A$20,0)),0))</f>
        <v/>
      </c>
      <c r="P233" s="28">
        <f>IF(A233="","",M233*Parámetros!$B$3+Parámetros!$B$4)</f>
        <v/>
      </c>
      <c r="Q233" s="16" t="n"/>
      <c r="R233" s="28">
        <f>IF(A233="","",M233/1.21-N233-O233-P233-Q233)</f>
        <v/>
      </c>
      <c r="S233" s="29">
        <f>IF(OR(A233="",M233=0),"",R233/(M233/1.21))</f>
        <v/>
      </c>
      <c r="T233" s="25" t="n"/>
      <c r="U233" s="25" t="n"/>
      <c r="V233" s="25" t="n"/>
      <c r="W233" s="25" t="n"/>
      <c r="X233" s="26" t="n"/>
      <c r="Y233" s="26" t="n"/>
      <c r="Z233" s="25" t="n"/>
    </row>
    <row r="234">
      <c r="A234" s="25" t="n"/>
      <c r="B234" s="26" t="n"/>
      <c r="C234" s="25" t="n"/>
      <c r="D234" s="25" t="n"/>
      <c r="E234" s="25" t="n"/>
      <c r="F234" s="25" t="n"/>
      <c r="G234" s="25" t="n"/>
      <c r="H234" s="25" t="n"/>
      <c r="I234" s="25" t="n"/>
      <c r="J234" s="27">
        <f>IF(G234="","",IFERROR(INDEX(Parámetros!$B$8:$B$20,MATCH(G234,Parámetros!$A$8:$A$20,0)),""))</f>
        <v/>
      </c>
      <c r="K234" s="16" t="n"/>
      <c r="L234" s="16" t="n"/>
      <c r="M234" s="28">
        <f>IF(A234="","",I234*J234-K234+L234)</f>
        <v/>
      </c>
      <c r="N234" s="27">
        <f>IF(A234="","",IFERROR(I234*INDEX(Parámetros!$C$8:$C$20,MATCH(G234,Parámetros!$A$8:$A$20,0)),0))</f>
        <v/>
      </c>
      <c r="O234" s="27">
        <f>IF(A234="","",IFERROR(I234*INDEX(Parámetros!$D$8:$D$20,MATCH(G234,Parámetros!$A$8:$A$20,0)),0))</f>
        <v/>
      </c>
      <c r="P234" s="28">
        <f>IF(A234="","",M234*Parámetros!$B$3+Parámetros!$B$4)</f>
        <v/>
      </c>
      <c r="Q234" s="16" t="n"/>
      <c r="R234" s="28">
        <f>IF(A234="","",M234/1.21-N234-O234-P234-Q234)</f>
        <v/>
      </c>
      <c r="S234" s="29">
        <f>IF(OR(A234="",M234=0),"",R234/(M234/1.21))</f>
        <v/>
      </c>
      <c r="T234" s="25" t="n"/>
      <c r="U234" s="25" t="n"/>
      <c r="V234" s="25" t="n"/>
      <c r="W234" s="25" t="n"/>
      <c r="X234" s="26" t="n"/>
      <c r="Y234" s="26" t="n"/>
      <c r="Z234" s="25" t="n"/>
    </row>
    <row r="235">
      <c r="A235" s="25" t="n"/>
      <c r="B235" s="26" t="n"/>
      <c r="C235" s="25" t="n"/>
      <c r="D235" s="25" t="n"/>
      <c r="E235" s="25" t="n"/>
      <c r="F235" s="25" t="n"/>
      <c r="G235" s="25" t="n"/>
      <c r="H235" s="25" t="n"/>
      <c r="I235" s="25" t="n"/>
      <c r="J235" s="27">
        <f>IF(G235="","",IFERROR(INDEX(Parámetros!$B$8:$B$20,MATCH(G235,Parámetros!$A$8:$A$20,0)),""))</f>
        <v/>
      </c>
      <c r="K235" s="16" t="n"/>
      <c r="L235" s="16" t="n"/>
      <c r="M235" s="28">
        <f>IF(A235="","",I235*J235-K235+L235)</f>
        <v/>
      </c>
      <c r="N235" s="27">
        <f>IF(A235="","",IFERROR(I235*INDEX(Parámetros!$C$8:$C$20,MATCH(G235,Parámetros!$A$8:$A$20,0)),0))</f>
        <v/>
      </c>
      <c r="O235" s="27">
        <f>IF(A235="","",IFERROR(I235*INDEX(Parámetros!$D$8:$D$20,MATCH(G235,Parámetros!$A$8:$A$20,0)),0))</f>
        <v/>
      </c>
      <c r="P235" s="28">
        <f>IF(A235="","",M235*Parámetros!$B$3+Parámetros!$B$4)</f>
        <v/>
      </c>
      <c r="Q235" s="16" t="n"/>
      <c r="R235" s="28">
        <f>IF(A235="","",M235/1.21-N235-O235-P235-Q235)</f>
        <v/>
      </c>
      <c r="S235" s="29">
        <f>IF(OR(A235="",M235=0),"",R235/(M235/1.21))</f>
        <v/>
      </c>
      <c r="T235" s="25" t="n"/>
      <c r="U235" s="25" t="n"/>
      <c r="V235" s="25" t="n"/>
      <c r="W235" s="25" t="n"/>
      <c r="X235" s="26" t="n"/>
      <c r="Y235" s="26" t="n"/>
      <c r="Z235" s="25" t="n"/>
    </row>
    <row r="236">
      <c r="A236" s="25" t="n"/>
      <c r="B236" s="26" t="n"/>
      <c r="C236" s="25" t="n"/>
      <c r="D236" s="25" t="n"/>
      <c r="E236" s="25" t="n"/>
      <c r="F236" s="25" t="n"/>
      <c r="G236" s="25" t="n"/>
      <c r="H236" s="25" t="n"/>
      <c r="I236" s="25" t="n"/>
      <c r="J236" s="27">
        <f>IF(G236="","",IFERROR(INDEX(Parámetros!$B$8:$B$20,MATCH(G236,Parámetros!$A$8:$A$20,0)),""))</f>
        <v/>
      </c>
      <c r="K236" s="16" t="n"/>
      <c r="L236" s="16" t="n"/>
      <c r="M236" s="28">
        <f>IF(A236="","",I236*J236-K236+L236)</f>
        <v/>
      </c>
      <c r="N236" s="27">
        <f>IF(A236="","",IFERROR(I236*INDEX(Parámetros!$C$8:$C$20,MATCH(G236,Parámetros!$A$8:$A$20,0)),0))</f>
        <v/>
      </c>
      <c r="O236" s="27">
        <f>IF(A236="","",IFERROR(I236*INDEX(Parámetros!$D$8:$D$20,MATCH(G236,Parámetros!$A$8:$A$20,0)),0))</f>
        <v/>
      </c>
      <c r="P236" s="28">
        <f>IF(A236="","",M236*Parámetros!$B$3+Parámetros!$B$4)</f>
        <v/>
      </c>
      <c r="Q236" s="16" t="n"/>
      <c r="R236" s="28">
        <f>IF(A236="","",M236/1.21-N236-O236-P236-Q236)</f>
        <v/>
      </c>
      <c r="S236" s="29">
        <f>IF(OR(A236="",M236=0),"",R236/(M236/1.21))</f>
        <v/>
      </c>
      <c r="T236" s="25" t="n"/>
      <c r="U236" s="25" t="n"/>
      <c r="V236" s="25" t="n"/>
      <c r="W236" s="25" t="n"/>
      <c r="X236" s="26" t="n"/>
      <c r="Y236" s="26" t="n"/>
      <c r="Z236" s="25" t="n"/>
    </row>
    <row r="237">
      <c r="A237" s="25" t="n"/>
      <c r="B237" s="26" t="n"/>
      <c r="C237" s="25" t="n"/>
      <c r="D237" s="25" t="n"/>
      <c r="E237" s="25" t="n"/>
      <c r="F237" s="25" t="n"/>
      <c r="G237" s="25" t="n"/>
      <c r="H237" s="25" t="n"/>
      <c r="I237" s="25" t="n"/>
      <c r="J237" s="27">
        <f>IF(G237="","",IFERROR(INDEX(Parámetros!$B$8:$B$20,MATCH(G237,Parámetros!$A$8:$A$20,0)),""))</f>
        <v/>
      </c>
      <c r="K237" s="16" t="n"/>
      <c r="L237" s="16" t="n"/>
      <c r="M237" s="28">
        <f>IF(A237="","",I237*J237-K237+L237)</f>
        <v/>
      </c>
      <c r="N237" s="27">
        <f>IF(A237="","",IFERROR(I237*INDEX(Parámetros!$C$8:$C$20,MATCH(G237,Parámetros!$A$8:$A$20,0)),0))</f>
        <v/>
      </c>
      <c r="O237" s="27">
        <f>IF(A237="","",IFERROR(I237*INDEX(Parámetros!$D$8:$D$20,MATCH(G237,Parámetros!$A$8:$A$20,0)),0))</f>
        <v/>
      </c>
      <c r="P237" s="28">
        <f>IF(A237="","",M237*Parámetros!$B$3+Parámetros!$B$4)</f>
        <v/>
      </c>
      <c r="Q237" s="16" t="n"/>
      <c r="R237" s="28">
        <f>IF(A237="","",M237/1.21-N237-O237-P237-Q237)</f>
        <v/>
      </c>
      <c r="S237" s="29">
        <f>IF(OR(A237="",M237=0),"",R237/(M237/1.21))</f>
        <v/>
      </c>
      <c r="T237" s="25" t="n"/>
      <c r="U237" s="25" t="n"/>
      <c r="V237" s="25" t="n"/>
      <c r="W237" s="25" t="n"/>
      <c r="X237" s="26" t="n"/>
      <c r="Y237" s="26" t="n"/>
      <c r="Z237" s="25" t="n"/>
    </row>
    <row r="238">
      <c r="A238" s="25" t="n"/>
      <c r="B238" s="26" t="n"/>
      <c r="C238" s="25" t="n"/>
      <c r="D238" s="25" t="n"/>
      <c r="E238" s="25" t="n"/>
      <c r="F238" s="25" t="n"/>
      <c r="G238" s="25" t="n"/>
      <c r="H238" s="25" t="n"/>
      <c r="I238" s="25" t="n"/>
      <c r="J238" s="27">
        <f>IF(G238="","",IFERROR(INDEX(Parámetros!$B$8:$B$20,MATCH(G238,Parámetros!$A$8:$A$20,0)),""))</f>
        <v/>
      </c>
      <c r="K238" s="16" t="n"/>
      <c r="L238" s="16" t="n"/>
      <c r="M238" s="28">
        <f>IF(A238="","",I238*J238-K238+L238)</f>
        <v/>
      </c>
      <c r="N238" s="27">
        <f>IF(A238="","",IFERROR(I238*INDEX(Parámetros!$C$8:$C$20,MATCH(G238,Parámetros!$A$8:$A$20,0)),0))</f>
        <v/>
      </c>
      <c r="O238" s="27">
        <f>IF(A238="","",IFERROR(I238*INDEX(Parámetros!$D$8:$D$20,MATCH(G238,Parámetros!$A$8:$A$20,0)),0))</f>
        <v/>
      </c>
      <c r="P238" s="28">
        <f>IF(A238="","",M238*Parámetros!$B$3+Parámetros!$B$4)</f>
        <v/>
      </c>
      <c r="Q238" s="16" t="n"/>
      <c r="R238" s="28">
        <f>IF(A238="","",M238/1.21-N238-O238-P238-Q238)</f>
        <v/>
      </c>
      <c r="S238" s="29">
        <f>IF(OR(A238="",M238=0),"",R238/(M238/1.21))</f>
        <v/>
      </c>
      <c r="T238" s="25" t="n"/>
      <c r="U238" s="25" t="n"/>
      <c r="V238" s="25" t="n"/>
      <c r="W238" s="25" t="n"/>
      <c r="X238" s="26" t="n"/>
      <c r="Y238" s="26" t="n"/>
      <c r="Z238" s="25" t="n"/>
    </row>
    <row r="239">
      <c r="A239" s="25" t="n"/>
      <c r="B239" s="26" t="n"/>
      <c r="C239" s="25" t="n"/>
      <c r="D239" s="25" t="n"/>
      <c r="E239" s="25" t="n"/>
      <c r="F239" s="25" t="n"/>
      <c r="G239" s="25" t="n"/>
      <c r="H239" s="25" t="n"/>
      <c r="I239" s="25" t="n"/>
      <c r="J239" s="27">
        <f>IF(G239="","",IFERROR(INDEX(Parámetros!$B$8:$B$20,MATCH(G239,Parámetros!$A$8:$A$20,0)),""))</f>
        <v/>
      </c>
      <c r="K239" s="16" t="n"/>
      <c r="L239" s="16" t="n"/>
      <c r="M239" s="28">
        <f>IF(A239="","",I239*J239-K239+L239)</f>
        <v/>
      </c>
      <c r="N239" s="27">
        <f>IF(A239="","",IFERROR(I239*INDEX(Parámetros!$C$8:$C$20,MATCH(G239,Parámetros!$A$8:$A$20,0)),0))</f>
        <v/>
      </c>
      <c r="O239" s="27">
        <f>IF(A239="","",IFERROR(I239*INDEX(Parámetros!$D$8:$D$20,MATCH(G239,Parámetros!$A$8:$A$20,0)),0))</f>
        <v/>
      </c>
      <c r="P239" s="28">
        <f>IF(A239="","",M239*Parámetros!$B$3+Parámetros!$B$4)</f>
        <v/>
      </c>
      <c r="Q239" s="16" t="n"/>
      <c r="R239" s="28">
        <f>IF(A239="","",M239/1.21-N239-O239-P239-Q239)</f>
        <v/>
      </c>
      <c r="S239" s="29">
        <f>IF(OR(A239="",M239=0),"",R239/(M239/1.21))</f>
        <v/>
      </c>
      <c r="T239" s="25" t="n"/>
      <c r="U239" s="25" t="n"/>
      <c r="V239" s="25" t="n"/>
      <c r="W239" s="25" t="n"/>
      <c r="X239" s="26" t="n"/>
      <c r="Y239" s="26" t="n"/>
      <c r="Z239" s="25" t="n"/>
    </row>
    <row r="240">
      <c r="A240" s="25" t="n"/>
      <c r="B240" s="26" t="n"/>
      <c r="C240" s="25" t="n"/>
      <c r="D240" s="25" t="n"/>
      <c r="E240" s="25" t="n"/>
      <c r="F240" s="25" t="n"/>
      <c r="G240" s="25" t="n"/>
      <c r="H240" s="25" t="n"/>
      <c r="I240" s="25" t="n"/>
      <c r="J240" s="27">
        <f>IF(G240="","",IFERROR(INDEX(Parámetros!$B$8:$B$20,MATCH(G240,Parámetros!$A$8:$A$20,0)),""))</f>
        <v/>
      </c>
      <c r="K240" s="16" t="n"/>
      <c r="L240" s="16" t="n"/>
      <c r="M240" s="28">
        <f>IF(A240="","",I240*J240-K240+L240)</f>
        <v/>
      </c>
      <c r="N240" s="27">
        <f>IF(A240="","",IFERROR(I240*INDEX(Parámetros!$C$8:$C$20,MATCH(G240,Parámetros!$A$8:$A$20,0)),0))</f>
        <v/>
      </c>
      <c r="O240" s="27">
        <f>IF(A240="","",IFERROR(I240*INDEX(Parámetros!$D$8:$D$20,MATCH(G240,Parámetros!$A$8:$A$20,0)),0))</f>
        <v/>
      </c>
      <c r="P240" s="28">
        <f>IF(A240="","",M240*Parámetros!$B$3+Parámetros!$B$4)</f>
        <v/>
      </c>
      <c r="Q240" s="16" t="n"/>
      <c r="R240" s="28">
        <f>IF(A240="","",M240/1.21-N240-O240-P240-Q240)</f>
        <v/>
      </c>
      <c r="S240" s="29">
        <f>IF(OR(A240="",M240=0),"",R240/(M240/1.21))</f>
        <v/>
      </c>
      <c r="T240" s="25" t="n"/>
      <c r="U240" s="25" t="n"/>
      <c r="V240" s="25" t="n"/>
      <c r="W240" s="25" t="n"/>
      <c r="X240" s="26" t="n"/>
      <c r="Y240" s="26" t="n"/>
      <c r="Z240" s="25" t="n"/>
    </row>
    <row r="241">
      <c r="A241" s="25" t="n"/>
      <c r="B241" s="26" t="n"/>
      <c r="C241" s="25" t="n"/>
      <c r="D241" s="25" t="n"/>
      <c r="E241" s="25" t="n"/>
      <c r="F241" s="25" t="n"/>
      <c r="G241" s="25" t="n"/>
      <c r="H241" s="25" t="n"/>
      <c r="I241" s="25" t="n"/>
      <c r="J241" s="27">
        <f>IF(G241="","",IFERROR(INDEX(Parámetros!$B$8:$B$20,MATCH(G241,Parámetros!$A$8:$A$20,0)),""))</f>
        <v/>
      </c>
      <c r="K241" s="16" t="n"/>
      <c r="L241" s="16" t="n"/>
      <c r="M241" s="28">
        <f>IF(A241="","",I241*J241-K241+L241)</f>
        <v/>
      </c>
      <c r="N241" s="27">
        <f>IF(A241="","",IFERROR(I241*INDEX(Parámetros!$C$8:$C$20,MATCH(G241,Parámetros!$A$8:$A$20,0)),0))</f>
        <v/>
      </c>
      <c r="O241" s="27">
        <f>IF(A241="","",IFERROR(I241*INDEX(Parámetros!$D$8:$D$20,MATCH(G241,Parámetros!$A$8:$A$20,0)),0))</f>
        <v/>
      </c>
      <c r="P241" s="28">
        <f>IF(A241="","",M241*Parámetros!$B$3+Parámetros!$B$4)</f>
        <v/>
      </c>
      <c r="Q241" s="16" t="n"/>
      <c r="R241" s="28">
        <f>IF(A241="","",M241/1.21-N241-O241-P241-Q241)</f>
        <v/>
      </c>
      <c r="S241" s="29">
        <f>IF(OR(A241="",M241=0),"",R241/(M241/1.21))</f>
        <v/>
      </c>
      <c r="T241" s="25" t="n"/>
      <c r="U241" s="25" t="n"/>
      <c r="V241" s="25" t="n"/>
      <c r="W241" s="25" t="n"/>
      <c r="X241" s="26" t="n"/>
      <c r="Y241" s="26" t="n"/>
      <c r="Z241" s="25" t="n"/>
    </row>
    <row r="242">
      <c r="A242" s="25" t="n"/>
      <c r="B242" s="26" t="n"/>
      <c r="C242" s="25" t="n"/>
      <c r="D242" s="25" t="n"/>
      <c r="E242" s="25" t="n"/>
      <c r="F242" s="25" t="n"/>
      <c r="G242" s="25" t="n"/>
      <c r="H242" s="25" t="n"/>
      <c r="I242" s="25" t="n"/>
      <c r="J242" s="27">
        <f>IF(G242="","",IFERROR(INDEX(Parámetros!$B$8:$B$20,MATCH(G242,Parámetros!$A$8:$A$20,0)),""))</f>
        <v/>
      </c>
      <c r="K242" s="16" t="n"/>
      <c r="L242" s="16" t="n"/>
      <c r="M242" s="28">
        <f>IF(A242="","",I242*J242-K242+L242)</f>
        <v/>
      </c>
      <c r="N242" s="27">
        <f>IF(A242="","",IFERROR(I242*INDEX(Parámetros!$C$8:$C$20,MATCH(G242,Parámetros!$A$8:$A$20,0)),0))</f>
        <v/>
      </c>
      <c r="O242" s="27">
        <f>IF(A242="","",IFERROR(I242*INDEX(Parámetros!$D$8:$D$20,MATCH(G242,Parámetros!$A$8:$A$20,0)),0))</f>
        <v/>
      </c>
      <c r="P242" s="28">
        <f>IF(A242="","",M242*Parámetros!$B$3+Parámetros!$B$4)</f>
        <v/>
      </c>
      <c r="Q242" s="16" t="n"/>
      <c r="R242" s="28">
        <f>IF(A242="","",M242/1.21-N242-O242-P242-Q242)</f>
        <v/>
      </c>
      <c r="S242" s="29">
        <f>IF(OR(A242="",M242=0),"",R242/(M242/1.21))</f>
        <v/>
      </c>
      <c r="T242" s="25" t="n"/>
      <c r="U242" s="25" t="n"/>
      <c r="V242" s="25" t="n"/>
      <c r="W242" s="25" t="n"/>
      <c r="X242" s="26" t="n"/>
      <c r="Y242" s="26" t="n"/>
      <c r="Z242" s="25" t="n"/>
    </row>
    <row r="243">
      <c r="A243" s="25" t="n"/>
      <c r="B243" s="26" t="n"/>
      <c r="C243" s="25" t="n"/>
      <c r="D243" s="25" t="n"/>
      <c r="E243" s="25" t="n"/>
      <c r="F243" s="25" t="n"/>
      <c r="G243" s="25" t="n"/>
      <c r="H243" s="25" t="n"/>
      <c r="I243" s="25" t="n"/>
      <c r="J243" s="27">
        <f>IF(G243="","",IFERROR(INDEX(Parámetros!$B$8:$B$20,MATCH(G243,Parámetros!$A$8:$A$20,0)),""))</f>
        <v/>
      </c>
      <c r="K243" s="16" t="n"/>
      <c r="L243" s="16" t="n"/>
      <c r="M243" s="28">
        <f>IF(A243="","",I243*J243-K243+L243)</f>
        <v/>
      </c>
      <c r="N243" s="27">
        <f>IF(A243="","",IFERROR(I243*INDEX(Parámetros!$C$8:$C$20,MATCH(G243,Parámetros!$A$8:$A$20,0)),0))</f>
        <v/>
      </c>
      <c r="O243" s="27">
        <f>IF(A243="","",IFERROR(I243*INDEX(Parámetros!$D$8:$D$20,MATCH(G243,Parámetros!$A$8:$A$20,0)),0))</f>
        <v/>
      </c>
      <c r="P243" s="28">
        <f>IF(A243="","",M243*Parámetros!$B$3+Parámetros!$B$4)</f>
        <v/>
      </c>
      <c r="Q243" s="16" t="n"/>
      <c r="R243" s="28">
        <f>IF(A243="","",M243/1.21-N243-O243-P243-Q243)</f>
        <v/>
      </c>
      <c r="S243" s="29">
        <f>IF(OR(A243="",M243=0),"",R243/(M243/1.21))</f>
        <v/>
      </c>
      <c r="T243" s="25" t="n"/>
      <c r="U243" s="25" t="n"/>
      <c r="V243" s="25" t="n"/>
      <c r="W243" s="25" t="n"/>
      <c r="X243" s="26" t="n"/>
      <c r="Y243" s="26" t="n"/>
      <c r="Z243" s="25" t="n"/>
    </row>
    <row r="244">
      <c r="A244" s="25" t="n"/>
      <c r="B244" s="26" t="n"/>
      <c r="C244" s="25" t="n"/>
      <c r="D244" s="25" t="n"/>
      <c r="E244" s="25" t="n"/>
      <c r="F244" s="25" t="n"/>
      <c r="G244" s="25" t="n"/>
      <c r="H244" s="25" t="n"/>
      <c r="I244" s="25" t="n"/>
      <c r="J244" s="27">
        <f>IF(G244="","",IFERROR(INDEX(Parámetros!$B$8:$B$20,MATCH(G244,Parámetros!$A$8:$A$20,0)),""))</f>
        <v/>
      </c>
      <c r="K244" s="16" t="n"/>
      <c r="L244" s="16" t="n"/>
      <c r="M244" s="28">
        <f>IF(A244="","",I244*J244-K244+L244)</f>
        <v/>
      </c>
      <c r="N244" s="27">
        <f>IF(A244="","",IFERROR(I244*INDEX(Parámetros!$C$8:$C$20,MATCH(G244,Parámetros!$A$8:$A$20,0)),0))</f>
        <v/>
      </c>
      <c r="O244" s="27">
        <f>IF(A244="","",IFERROR(I244*INDEX(Parámetros!$D$8:$D$20,MATCH(G244,Parámetros!$A$8:$A$20,0)),0))</f>
        <v/>
      </c>
      <c r="P244" s="28">
        <f>IF(A244="","",M244*Parámetros!$B$3+Parámetros!$B$4)</f>
        <v/>
      </c>
      <c r="Q244" s="16" t="n"/>
      <c r="R244" s="28">
        <f>IF(A244="","",M244/1.21-N244-O244-P244-Q244)</f>
        <v/>
      </c>
      <c r="S244" s="29">
        <f>IF(OR(A244="",M244=0),"",R244/(M244/1.21))</f>
        <v/>
      </c>
      <c r="T244" s="25" t="n"/>
      <c r="U244" s="25" t="n"/>
      <c r="V244" s="25" t="n"/>
      <c r="W244" s="25" t="n"/>
      <c r="X244" s="26" t="n"/>
      <c r="Y244" s="26" t="n"/>
      <c r="Z244" s="25" t="n"/>
    </row>
    <row r="245">
      <c r="A245" s="25" t="n"/>
      <c r="B245" s="26" t="n"/>
      <c r="C245" s="25" t="n"/>
      <c r="D245" s="25" t="n"/>
      <c r="E245" s="25" t="n"/>
      <c r="F245" s="25" t="n"/>
      <c r="G245" s="25" t="n"/>
      <c r="H245" s="25" t="n"/>
      <c r="I245" s="25" t="n"/>
      <c r="J245" s="27">
        <f>IF(G245="","",IFERROR(INDEX(Parámetros!$B$8:$B$20,MATCH(G245,Parámetros!$A$8:$A$20,0)),""))</f>
        <v/>
      </c>
      <c r="K245" s="16" t="n"/>
      <c r="L245" s="16" t="n"/>
      <c r="M245" s="28">
        <f>IF(A245="","",I245*J245-K245+L245)</f>
        <v/>
      </c>
      <c r="N245" s="27">
        <f>IF(A245="","",IFERROR(I245*INDEX(Parámetros!$C$8:$C$20,MATCH(G245,Parámetros!$A$8:$A$20,0)),0))</f>
        <v/>
      </c>
      <c r="O245" s="27">
        <f>IF(A245="","",IFERROR(I245*INDEX(Parámetros!$D$8:$D$20,MATCH(G245,Parámetros!$A$8:$A$20,0)),0))</f>
        <v/>
      </c>
      <c r="P245" s="28">
        <f>IF(A245="","",M245*Parámetros!$B$3+Parámetros!$B$4)</f>
        <v/>
      </c>
      <c r="Q245" s="16" t="n"/>
      <c r="R245" s="28">
        <f>IF(A245="","",M245/1.21-N245-O245-P245-Q245)</f>
        <v/>
      </c>
      <c r="S245" s="29">
        <f>IF(OR(A245="",M245=0),"",R245/(M245/1.21))</f>
        <v/>
      </c>
      <c r="T245" s="25" t="n"/>
      <c r="U245" s="25" t="n"/>
      <c r="V245" s="25" t="n"/>
      <c r="W245" s="25" t="n"/>
      <c r="X245" s="26" t="n"/>
      <c r="Y245" s="26" t="n"/>
      <c r="Z245" s="25" t="n"/>
    </row>
    <row r="246">
      <c r="A246" s="25" t="n"/>
      <c r="B246" s="26" t="n"/>
      <c r="C246" s="25" t="n"/>
      <c r="D246" s="25" t="n"/>
      <c r="E246" s="25" t="n"/>
      <c r="F246" s="25" t="n"/>
      <c r="G246" s="25" t="n"/>
      <c r="H246" s="25" t="n"/>
      <c r="I246" s="25" t="n"/>
      <c r="J246" s="27">
        <f>IF(G246="","",IFERROR(INDEX(Parámetros!$B$8:$B$20,MATCH(G246,Parámetros!$A$8:$A$20,0)),""))</f>
        <v/>
      </c>
      <c r="K246" s="16" t="n"/>
      <c r="L246" s="16" t="n"/>
      <c r="M246" s="28">
        <f>IF(A246="","",I246*J246-K246+L246)</f>
        <v/>
      </c>
      <c r="N246" s="27">
        <f>IF(A246="","",IFERROR(I246*INDEX(Parámetros!$C$8:$C$20,MATCH(G246,Parámetros!$A$8:$A$20,0)),0))</f>
        <v/>
      </c>
      <c r="O246" s="27">
        <f>IF(A246="","",IFERROR(I246*INDEX(Parámetros!$D$8:$D$20,MATCH(G246,Parámetros!$A$8:$A$20,0)),0))</f>
        <v/>
      </c>
      <c r="P246" s="28">
        <f>IF(A246="","",M246*Parámetros!$B$3+Parámetros!$B$4)</f>
        <v/>
      </c>
      <c r="Q246" s="16" t="n"/>
      <c r="R246" s="28">
        <f>IF(A246="","",M246/1.21-N246-O246-P246-Q246)</f>
        <v/>
      </c>
      <c r="S246" s="29">
        <f>IF(OR(A246="",M246=0),"",R246/(M246/1.21))</f>
        <v/>
      </c>
      <c r="T246" s="25" t="n"/>
      <c r="U246" s="25" t="n"/>
      <c r="V246" s="25" t="n"/>
      <c r="W246" s="25" t="n"/>
      <c r="X246" s="26" t="n"/>
      <c r="Y246" s="26" t="n"/>
      <c r="Z246" s="25" t="n"/>
    </row>
    <row r="247">
      <c r="A247" s="25" t="n"/>
      <c r="B247" s="26" t="n"/>
      <c r="C247" s="25" t="n"/>
      <c r="D247" s="25" t="n"/>
      <c r="E247" s="25" t="n"/>
      <c r="F247" s="25" t="n"/>
      <c r="G247" s="25" t="n"/>
      <c r="H247" s="25" t="n"/>
      <c r="I247" s="25" t="n"/>
      <c r="J247" s="27">
        <f>IF(G247="","",IFERROR(INDEX(Parámetros!$B$8:$B$20,MATCH(G247,Parámetros!$A$8:$A$20,0)),""))</f>
        <v/>
      </c>
      <c r="K247" s="16" t="n"/>
      <c r="L247" s="16" t="n"/>
      <c r="M247" s="28">
        <f>IF(A247="","",I247*J247-K247+L247)</f>
        <v/>
      </c>
      <c r="N247" s="27">
        <f>IF(A247="","",IFERROR(I247*INDEX(Parámetros!$C$8:$C$20,MATCH(G247,Parámetros!$A$8:$A$20,0)),0))</f>
        <v/>
      </c>
      <c r="O247" s="27">
        <f>IF(A247="","",IFERROR(I247*INDEX(Parámetros!$D$8:$D$20,MATCH(G247,Parámetros!$A$8:$A$20,0)),0))</f>
        <v/>
      </c>
      <c r="P247" s="28">
        <f>IF(A247="","",M247*Parámetros!$B$3+Parámetros!$B$4)</f>
        <v/>
      </c>
      <c r="Q247" s="16" t="n"/>
      <c r="R247" s="28">
        <f>IF(A247="","",M247/1.21-N247-O247-P247-Q247)</f>
        <v/>
      </c>
      <c r="S247" s="29">
        <f>IF(OR(A247="",M247=0),"",R247/(M247/1.21))</f>
        <v/>
      </c>
      <c r="T247" s="25" t="n"/>
      <c r="U247" s="25" t="n"/>
      <c r="V247" s="25" t="n"/>
      <c r="W247" s="25" t="n"/>
      <c r="X247" s="26" t="n"/>
      <c r="Y247" s="26" t="n"/>
      <c r="Z247" s="25" t="n"/>
    </row>
    <row r="248">
      <c r="A248" s="25" t="n"/>
      <c r="B248" s="26" t="n"/>
      <c r="C248" s="25" t="n"/>
      <c r="D248" s="25" t="n"/>
      <c r="E248" s="25" t="n"/>
      <c r="F248" s="25" t="n"/>
      <c r="G248" s="25" t="n"/>
      <c r="H248" s="25" t="n"/>
      <c r="I248" s="25" t="n"/>
      <c r="J248" s="27">
        <f>IF(G248="","",IFERROR(INDEX(Parámetros!$B$8:$B$20,MATCH(G248,Parámetros!$A$8:$A$20,0)),""))</f>
        <v/>
      </c>
      <c r="K248" s="16" t="n"/>
      <c r="L248" s="16" t="n"/>
      <c r="M248" s="28">
        <f>IF(A248="","",I248*J248-K248+L248)</f>
        <v/>
      </c>
      <c r="N248" s="27">
        <f>IF(A248="","",IFERROR(I248*INDEX(Parámetros!$C$8:$C$20,MATCH(G248,Parámetros!$A$8:$A$20,0)),0))</f>
        <v/>
      </c>
      <c r="O248" s="27">
        <f>IF(A248="","",IFERROR(I248*INDEX(Parámetros!$D$8:$D$20,MATCH(G248,Parámetros!$A$8:$A$20,0)),0))</f>
        <v/>
      </c>
      <c r="P248" s="28">
        <f>IF(A248="","",M248*Parámetros!$B$3+Parámetros!$B$4)</f>
        <v/>
      </c>
      <c r="Q248" s="16" t="n"/>
      <c r="R248" s="28">
        <f>IF(A248="","",M248/1.21-N248-O248-P248-Q248)</f>
        <v/>
      </c>
      <c r="S248" s="29">
        <f>IF(OR(A248="",M248=0),"",R248/(M248/1.21))</f>
        <v/>
      </c>
      <c r="T248" s="25" t="n"/>
      <c r="U248" s="25" t="n"/>
      <c r="V248" s="25" t="n"/>
      <c r="W248" s="25" t="n"/>
      <c r="X248" s="26" t="n"/>
      <c r="Y248" s="26" t="n"/>
      <c r="Z248" s="25" t="n"/>
    </row>
    <row r="249">
      <c r="A249" s="25" t="n"/>
      <c r="B249" s="26" t="n"/>
      <c r="C249" s="25" t="n"/>
      <c r="D249" s="25" t="n"/>
      <c r="E249" s="25" t="n"/>
      <c r="F249" s="25" t="n"/>
      <c r="G249" s="25" t="n"/>
      <c r="H249" s="25" t="n"/>
      <c r="I249" s="25" t="n"/>
      <c r="J249" s="27">
        <f>IF(G249="","",IFERROR(INDEX(Parámetros!$B$8:$B$20,MATCH(G249,Parámetros!$A$8:$A$20,0)),""))</f>
        <v/>
      </c>
      <c r="K249" s="16" t="n"/>
      <c r="L249" s="16" t="n"/>
      <c r="M249" s="28">
        <f>IF(A249="","",I249*J249-K249+L249)</f>
        <v/>
      </c>
      <c r="N249" s="27">
        <f>IF(A249="","",IFERROR(I249*INDEX(Parámetros!$C$8:$C$20,MATCH(G249,Parámetros!$A$8:$A$20,0)),0))</f>
        <v/>
      </c>
      <c r="O249" s="27">
        <f>IF(A249="","",IFERROR(I249*INDEX(Parámetros!$D$8:$D$20,MATCH(G249,Parámetros!$A$8:$A$20,0)),0))</f>
        <v/>
      </c>
      <c r="P249" s="28">
        <f>IF(A249="","",M249*Parámetros!$B$3+Parámetros!$B$4)</f>
        <v/>
      </c>
      <c r="Q249" s="16" t="n"/>
      <c r="R249" s="28">
        <f>IF(A249="","",M249/1.21-N249-O249-P249-Q249)</f>
        <v/>
      </c>
      <c r="S249" s="29">
        <f>IF(OR(A249="",M249=0),"",R249/(M249/1.21))</f>
        <v/>
      </c>
      <c r="T249" s="25" t="n"/>
      <c r="U249" s="25" t="n"/>
      <c r="V249" s="25" t="n"/>
      <c r="W249" s="25" t="n"/>
      <c r="X249" s="26" t="n"/>
      <c r="Y249" s="26" t="n"/>
      <c r="Z249" s="25" t="n"/>
    </row>
    <row r="250">
      <c r="A250" s="25" t="n"/>
      <c r="B250" s="26" t="n"/>
      <c r="C250" s="25" t="n"/>
      <c r="D250" s="25" t="n"/>
      <c r="E250" s="25" t="n"/>
      <c r="F250" s="25" t="n"/>
      <c r="G250" s="25" t="n"/>
      <c r="H250" s="25" t="n"/>
      <c r="I250" s="25" t="n"/>
      <c r="J250" s="27">
        <f>IF(G250="","",IFERROR(INDEX(Parámetros!$B$8:$B$20,MATCH(G250,Parámetros!$A$8:$A$20,0)),""))</f>
        <v/>
      </c>
      <c r="K250" s="16" t="n"/>
      <c r="L250" s="16" t="n"/>
      <c r="M250" s="28">
        <f>IF(A250="","",I250*J250-K250+L250)</f>
        <v/>
      </c>
      <c r="N250" s="27">
        <f>IF(A250="","",IFERROR(I250*INDEX(Parámetros!$C$8:$C$20,MATCH(G250,Parámetros!$A$8:$A$20,0)),0))</f>
        <v/>
      </c>
      <c r="O250" s="27">
        <f>IF(A250="","",IFERROR(I250*INDEX(Parámetros!$D$8:$D$20,MATCH(G250,Parámetros!$A$8:$A$20,0)),0))</f>
        <v/>
      </c>
      <c r="P250" s="28">
        <f>IF(A250="","",M250*Parámetros!$B$3+Parámetros!$B$4)</f>
        <v/>
      </c>
      <c r="Q250" s="16" t="n"/>
      <c r="R250" s="28">
        <f>IF(A250="","",M250/1.21-N250-O250-P250-Q250)</f>
        <v/>
      </c>
      <c r="S250" s="29">
        <f>IF(OR(A250="",M250=0),"",R250/(M250/1.21))</f>
        <v/>
      </c>
      <c r="T250" s="25" t="n"/>
      <c r="U250" s="25" t="n"/>
      <c r="V250" s="25" t="n"/>
      <c r="W250" s="25" t="n"/>
      <c r="X250" s="26" t="n"/>
      <c r="Y250" s="26" t="n"/>
      <c r="Z250" s="25" t="n"/>
    </row>
    <row r="251">
      <c r="A251" s="25" t="n"/>
      <c r="B251" s="26" t="n"/>
      <c r="C251" s="25" t="n"/>
      <c r="D251" s="25" t="n"/>
      <c r="E251" s="25" t="n"/>
      <c r="F251" s="25" t="n"/>
      <c r="G251" s="25" t="n"/>
      <c r="H251" s="25" t="n"/>
      <c r="I251" s="25" t="n"/>
      <c r="J251" s="27">
        <f>IF(G251="","",IFERROR(INDEX(Parámetros!$B$8:$B$20,MATCH(G251,Parámetros!$A$8:$A$20,0)),""))</f>
        <v/>
      </c>
      <c r="K251" s="16" t="n"/>
      <c r="L251" s="16" t="n"/>
      <c r="M251" s="28">
        <f>IF(A251="","",I251*J251-K251+L251)</f>
        <v/>
      </c>
      <c r="N251" s="27">
        <f>IF(A251="","",IFERROR(I251*INDEX(Parámetros!$C$8:$C$20,MATCH(G251,Parámetros!$A$8:$A$20,0)),0))</f>
        <v/>
      </c>
      <c r="O251" s="27">
        <f>IF(A251="","",IFERROR(I251*INDEX(Parámetros!$D$8:$D$20,MATCH(G251,Parámetros!$A$8:$A$20,0)),0))</f>
        <v/>
      </c>
      <c r="P251" s="28">
        <f>IF(A251="","",M251*Parámetros!$B$3+Parámetros!$B$4)</f>
        <v/>
      </c>
      <c r="Q251" s="16" t="n"/>
      <c r="R251" s="28">
        <f>IF(A251="","",M251/1.21-N251-O251-P251-Q251)</f>
        <v/>
      </c>
      <c r="S251" s="29">
        <f>IF(OR(A251="",M251=0),"",R251/(M251/1.21))</f>
        <v/>
      </c>
      <c r="T251" s="25" t="n"/>
      <c r="U251" s="25" t="n"/>
      <c r="V251" s="25" t="n"/>
      <c r="W251" s="25" t="n"/>
      <c r="X251" s="26" t="n"/>
      <c r="Y251" s="26" t="n"/>
      <c r="Z251" s="25" t="n"/>
    </row>
    <row r="252">
      <c r="A252" s="25" t="n"/>
      <c r="B252" s="26" t="n"/>
      <c r="C252" s="25" t="n"/>
      <c r="D252" s="25" t="n"/>
      <c r="E252" s="25" t="n"/>
      <c r="F252" s="25" t="n"/>
      <c r="G252" s="25" t="n"/>
      <c r="H252" s="25" t="n"/>
      <c r="I252" s="25" t="n"/>
      <c r="J252" s="27">
        <f>IF(G252="","",IFERROR(INDEX(Parámetros!$B$8:$B$20,MATCH(G252,Parámetros!$A$8:$A$20,0)),""))</f>
        <v/>
      </c>
      <c r="K252" s="16" t="n"/>
      <c r="L252" s="16" t="n"/>
      <c r="M252" s="28">
        <f>IF(A252="","",I252*J252-K252+L252)</f>
        <v/>
      </c>
      <c r="N252" s="27">
        <f>IF(A252="","",IFERROR(I252*INDEX(Parámetros!$C$8:$C$20,MATCH(G252,Parámetros!$A$8:$A$20,0)),0))</f>
        <v/>
      </c>
      <c r="O252" s="27">
        <f>IF(A252="","",IFERROR(I252*INDEX(Parámetros!$D$8:$D$20,MATCH(G252,Parámetros!$A$8:$A$20,0)),0))</f>
        <v/>
      </c>
      <c r="P252" s="28">
        <f>IF(A252="","",M252*Parámetros!$B$3+Parámetros!$B$4)</f>
        <v/>
      </c>
      <c r="Q252" s="16" t="n"/>
      <c r="R252" s="28">
        <f>IF(A252="","",M252/1.21-N252-O252-P252-Q252)</f>
        <v/>
      </c>
      <c r="S252" s="29">
        <f>IF(OR(A252="",M252=0),"",R252/(M252/1.21))</f>
        <v/>
      </c>
      <c r="T252" s="25" t="n"/>
      <c r="U252" s="25" t="n"/>
      <c r="V252" s="25" t="n"/>
      <c r="W252" s="25" t="n"/>
      <c r="X252" s="26" t="n"/>
      <c r="Y252" s="26" t="n"/>
      <c r="Z252" s="25" t="n"/>
    </row>
    <row r="253">
      <c r="A253" s="25" t="n"/>
      <c r="B253" s="26" t="n"/>
      <c r="C253" s="25" t="n"/>
      <c r="D253" s="25" t="n"/>
      <c r="E253" s="25" t="n"/>
      <c r="F253" s="25" t="n"/>
      <c r="G253" s="25" t="n"/>
      <c r="H253" s="25" t="n"/>
      <c r="I253" s="25" t="n"/>
      <c r="J253" s="27">
        <f>IF(G253="","",IFERROR(INDEX(Parámetros!$B$8:$B$20,MATCH(G253,Parámetros!$A$8:$A$20,0)),""))</f>
        <v/>
      </c>
      <c r="K253" s="16" t="n"/>
      <c r="L253" s="16" t="n"/>
      <c r="M253" s="28">
        <f>IF(A253="","",I253*J253-K253+L253)</f>
        <v/>
      </c>
      <c r="N253" s="27">
        <f>IF(A253="","",IFERROR(I253*INDEX(Parámetros!$C$8:$C$20,MATCH(G253,Parámetros!$A$8:$A$20,0)),0))</f>
        <v/>
      </c>
      <c r="O253" s="27">
        <f>IF(A253="","",IFERROR(I253*INDEX(Parámetros!$D$8:$D$20,MATCH(G253,Parámetros!$A$8:$A$20,0)),0))</f>
        <v/>
      </c>
      <c r="P253" s="28">
        <f>IF(A253="","",M253*Parámetros!$B$3+Parámetros!$B$4)</f>
        <v/>
      </c>
      <c r="Q253" s="16" t="n"/>
      <c r="R253" s="28">
        <f>IF(A253="","",M253/1.21-N253-O253-P253-Q253)</f>
        <v/>
      </c>
      <c r="S253" s="29">
        <f>IF(OR(A253="",M253=0),"",R253/(M253/1.21))</f>
        <v/>
      </c>
      <c r="T253" s="25" t="n"/>
      <c r="U253" s="25" t="n"/>
      <c r="V253" s="25" t="n"/>
      <c r="W253" s="25" t="n"/>
      <c r="X253" s="26" t="n"/>
      <c r="Y253" s="26" t="n"/>
      <c r="Z253" s="25" t="n"/>
    </row>
    <row r="254">
      <c r="A254" s="25" t="n"/>
      <c r="B254" s="26" t="n"/>
      <c r="C254" s="25" t="n"/>
      <c r="D254" s="25" t="n"/>
      <c r="E254" s="25" t="n"/>
      <c r="F254" s="25" t="n"/>
      <c r="G254" s="25" t="n"/>
      <c r="H254" s="25" t="n"/>
      <c r="I254" s="25" t="n"/>
      <c r="J254" s="27">
        <f>IF(G254="","",IFERROR(INDEX(Parámetros!$B$8:$B$20,MATCH(G254,Parámetros!$A$8:$A$20,0)),""))</f>
        <v/>
      </c>
      <c r="K254" s="16" t="n"/>
      <c r="L254" s="16" t="n"/>
      <c r="M254" s="28">
        <f>IF(A254="","",I254*J254-K254+L254)</f>
        <v/>
      </c>
      <c r="N254" s="27">
        <f>IF(A254="","",IFERROR(I254*INDEX(Parámetros!$C$8:$C$20,MATCH(G254,Parámetros!$A$8:$A$20,0)),0))</f>
        <v/>
      </c>
      <c r="O254" s="27">
        <f>IF(A254="","",IFERROR(I254*INDEX(Parámetros!$D$8:$D$20,MATCH(G254,Parámetros!$A$8:$A$20,0)),0))</f>
        <v/>
      </c>
      <c r="P254" s="28">
        <f>IF(A254="","",M254*Parámetros!$B$3+Parámetros!$B$4)</f>
        <v/>
      </c>
      <c r="Q254" s="16" t="n"/>
      <c r="R254" s="28">
        <f>IF(A254="","",M254/1.21-N254-O254-P254-Q254)</f>
        <v/>
      </c>
      <c r="S254" s="29">
        <f>IF(OR(A254="",M254=0),"",R254/(M254/1.21))</f>
        <v/>
      </c>
      <c r="T254" s="25" t="n"/>
      <c r="U254" s="25" t="n"/>
      <c r="V254" s="25" t="n"/>
      <c r="W254" s="25" t="n"/>
      <c r="X254" s="26" t="n"/>
      <c r="Y254" s="26" t="n"/>
      <c r="Z254" s="25" t="n"/>
    </row>
    <row r="255">
      <c r="A255" s="25" t="n"/>
      <c r="B255" s="26" t="n"/>
      <c r="C255" s="25" t="n"/>
      <c r="D255" s="25" t="n"/>
      <c r="E255" s="25" t="n"/>
      <c r="F255" s="25" t="n"/>
      <c r="G255" s="25" t="n"/>
      <c r="H255" s="25" t="n"/>
      <c r="I255" s="25" t="n"/>
      <c r="J255" s="27">
        <f>IF(G255="","",IFERROR(INDEX(Parámetros!$B$8:$B$20,MATCH(G255,Parámetros!$A$8:$A$20,0)),""))</f>
        <v/>
      </c>
      <c r="K255" s="16" t="n"/>
      <c r="L255" s="16" t="n"/>
      <c r="M255" s="28">
        <f>IF(A255="","",I255*J255-K255+L255)</f>
        <v/>
      </c>
      <c r="N255" s="27">
        <f>IF(A255="","",IFERROR(I255*INDEX(Parámetros!$C$8:$C$20,MATCH(G255,Parámetros!$A$8:$A$20,0)),0))</f>
        <v/>
      </c>
      <c r="O255" s="27">
        <f>IF(A255="","",IFERROR(I255*INDEX(Parámetros!$D$8:$D$20,MATCH(G255,Parámetros!$A$8:$A$20,0)),0))</f>
        <v/>
      </c>
      <c r="P255" s="28">
        <f>IF(A255="","",M255*Parámetros!$B$3+Parámetros!$B$4)</f>
        <v/>
      </c>
      <c r="Q255" s="16" t="n"/>
      <c r="R255" s="28">
        <f>IF(A255="","",M255/1.21-N255-O255-P255-Q255)</f>
        <v/>
      </c>
      <c r="S255" s="29">
        <f>IF(OR(A255="",M255=0),"",R255/(M255/1.21))</f>
        <v/>
      </c>
      <c r="T255" s="25" t="n"/>
      <c r="U255" s="25" t="n"/>
      <c r="V255" s="25" t="n"/>
      <c r="W255" s="25" t="n"/>
      <c r="X255" s="26" t="n"/>
      <c r="Y255" s="26" t="n"/>
      <c r="Z255" s="25" t="n"/>
    </row>
    <row r="256">
      <c r="A256" s="25" t="n"/>
      <c r="B256" s="26" t="n"/>
      <c r="C256" s="25" t="n"/>
      <c r="D256" s="25" t="n"/>
      <c r="E256" s="25" t="n"/>
      <c r="F256" s="25" t="n"/>
      <c r="G256" s="25" t="n"/>
      <c r="H256" s="25" t="n"/>
      <c r="I256" s="25" t="n"/>
      <c r="J256" s="27">
        <f>IF(G256="","",IFERROR(INDEX(Parámetros!$B$8:$B$20,MATCH(G256,Parámetros!$A$8:$A$20,0)),""))</f>
        <v/>
      </c>
      <c r="K256" s="16" t="n"/>
      <c r="L256" s="16" t="n"/>
      <c r="M256" s="28">
        <f>IF(A256="","",I256*J256-K256+L256)</f>
        <v/>
      </c>
      <c r="N256" s="27">
        <f>IF(A256="","",IFERROR(I256*INDEX(Parámetros!$C$8:$C$20,MATCH(G256,Parámetros!$A$8:$A$20,0)),0))</f>
        <v/>
      </c>
      <c r="O256" s="27">
        <f>IF(A256="","",IFERROR(I256*INDEX(Parámetros!$D$8:$D$20,MATCH(G256,Parámetros!$A$8:$A$20,0)),0))</f>
        <v/>
      </c>
      <c r="P256" s="28">
        <f>IF(A256="","",M256*Parámetros!$B$3+Parámetros!$B$4)</f>
        <v/>
      </c>
      <c r="Q256" s="16" t="n"/>
      <c r="R256" s="28">
        <f>IF(A256="","",M256/1.21-N256-O256-P256-Q256)</f>
        <v/>
      </c>
      <c r="S256" s="29">
        <f>IF(OR(A256="",M256=0),"",R256/(M256/1.21))</f>
        <v/>
      </c>
      <c r="T256" s="25" t="n"/>
      <c r="U256" s="25" t="n"/>
      <c r="V256" s="25" t="n"/>
      <c r="W256" s="25" t="n"/>
      <c r="X256" s="26" t="n"/>
      <c r="Y256" s="26" t="n"/>
      <c r="Z256" s="25" t="n"/>
    </row>
    <row r="257">
      <c r="A257" s="25" t="n"/>
      <c r="B257" s="26" t="n"/>
      <c r="C257" s="25" t="n"/>
      <c r="D257" s="25" t="n"/>
      <c r="E257" s="25" t="n"/>
      <c r="F257" s="25" t="n"/>
      <c r="G257" s="25" t="n"/>
      <c r="H257" s="25" t="n"/>
      <c r="I257" s="25" t="n"/>
      <c r="J257" s="27">
        <f>IF(G257="","",IFERROR(INDEX(Parámetros!$B$8:$B$20,MATCH(G257,Parámetros!$A$8:$A$20,0)),""))</f>
        <v/>
      </c>
      <c r="K257" s="16" t="n"/>
      <c r="L257" s="16" t="n"/>
      <c r="M257" s="28">
        <f>IF(A257="","",I257*J257-K257+L257)</f>
        <v/>
      </c>
      <c r="N257" s="27">
        <f>IF(A257="","",IFERROR(I257*INDEX(Parámetros!$C$8:$C$20,MATCH(G257,Parámetros!$A$8:$A$20,0)),0))</f>
        <v/>
      </c>
      <c r="O257" s="27">
        <f>IF(A257="","",IFERROR(I257*INDEX(Parámetros!$D$8:$D$20,MATCH(G257,Parámetros!$A$8:$A$20,0)),0))</f>
        <v/>
      </c>
      <c r="P257" s="28">
        <f>IF(A257="","",M257*Parámetros!$B$3+Parámetros!$B$4)</f>
        <v/>
      </c>
      <c r="Q257" s="16" t="n"/>
      <c r="R257" s="28">
        <f>IF(A257="","",M257/1.21-N257-O257-P257-Q257)</f>
        <v/>
      </c>
      <c r="S257" s="29">
        <f>IF(OR(A257="",M257=0),"",R257/(M257/1.21))</f>
        <v/>
      </c>
      <c r="T257" s="25" t="n"/>
      <c r="U257" s="25" t="n"/>
      <c r="V257" s="25" t="n"/>
      <c r="W257" s="25" t="n"/>
      <c r="X257" s="26" t="n"/>
      <c r="Y257" s="26" t="n"/>
      <c r="Z257" s="25" t="n"/>
    </row>
    <row r="258">
      <c r="A258" s="25" t="n"/>
      <c r="B258" s="26" t="n"/>
      <c r="C258" s="25" t="n"/>
      <c r="D258" s="25" t="n"/>
      <c r="E258" s="25" t="n"/>
      <c r="F258" s="25" t="n"/>
      <c r="G258" s="25" t="n"/>
      <c r="H258" s="25" t="n"/>
      <c r="I258" s="25" t="n"/>
      <c r="J258" s="27">
        <f>IF(G258="","",IFERROR(INDEX(Parámetros!$B$8:$B$20,MATCH(G258,Parámetros!$A$8:$A$20,0)),""))</f>
        <v/>
      </c>
      <c r="K258" s="16" t="n"/>
      <c r="L258" s="16" t="n"/>
      <c r="M258" s="28">
        <f>IF(A258="","",I258*J258-K258+L258)</f>
        <v/>
      </c>
      <c r="N258" s="27">
        <f>IF(A258="","",IFERROR(I258*INDEX(Parámetros!$C$8:$C$20,MATCH(G258,Parámetros!$A$8:$A$20,0)),0))</f>
        <v/>
      </c>
      <c r="O258" s="27">
        <f>IF(A258="","",IFERROR(I258*INDEX(Parámetros!$D$8:$D$20,MATCH(G258,Parámetros!$A$8:$A$20,0)),0))</f>
        <v/>
      </c>
      <c r="P258" s="28">
        <f>IF(A258="","",M258*Parámetros!$B$3+Parámetros!$B$4)</f>
        <v/>
      </c>
      <c r="Q258" s="16" t="n"/>
      <c r="R258" s="28">
        <f>IF(A258="","",M258/1.21-N258-O258-P258-Q258)</f>
        <v/>
      </c>
      <c r="S258" s="29">
        <f>IF(OR(A258="",M258=0),"",R258/(M258/1.21))</f>
        <v/>
      </c>
      <c r="T258" s="25" t="n"/>
      <c r="U258" s="25" t="n"/>
      <c r="V258" s="25" t="n"/>
      <c r="W258" s="25" t="n"/>
      <c r="X258" s="26" t="n"/>
      <c r="Y258" s="26" t="n"/>
      <c r="Z258" s="25" t="n"/>
    </row>
    <row r="259">
      <c r="A259" s="25" t="n"/>
      <c r="B259" s="26" t="n"/>
      <c r="C259" s="25" t="n"/>
      <c r="D259" s="25" t="n"/>
      <c r="E259" s="25" t="n"/>
      <c r="F259" s="25" t="n"/>
      <c r="G259" s="25" t="n"/>
      <c r="H259" s="25" t="n"/>
      <c r="I259" s="25" t="n"/>
      <c r="J259" s="27">
        <f>IF(G259="","",IFERROR(INDEX(Parámetros!$B$8:$B$20,MATCH(G259,Parámetros!$A$8:$A$20,0)),""))</f>
        <v/>
      </c>
      <c r="K259" s="16" t="n"/>
      <c r="L259" s="16" t="n"/>
      <c r="M259" s="28">
        <f>IF(A259="","",I259*J259-K259+L259)</f>
        <v/>
      </c>
      <c r="N259" s="27">
        <f>IF(A259="","",IFERROR(I259*INDEX(Parámetros!$C$8:$C$20,MATCH(G259,Parámetros!$A$8:$A$20,0)),0))</f>
        <v/>
      </c>
      <c r="O259" s="27">
        <f>IF(A259="","",IFERROR(I259*INDEX(Parámetros!$D$8:$D$20,MATCH(G259,Parámetros!$A$8:$A$20,0)),0))</f>
        <v/>
      </c>
      <c r="P259" s="28">
        <f>IF(A259="","",M259*Parámetros!$B$3+Parámetros!$B$4)</f>
        <v/>
      </c>
      <c r="Q259" s="16" t="n"/>
      <c r="R259" s="28">
        <f>IF(A259="","",M259/1.21-N259-O259-P259-Q259)</f>
        <v/>
      </c>
      <c r="S259" s="29">
        <f>IF(OR(A259="",M259=0),"",R259/(M259/1.21))</f>
        <v/>
      </c>
      <c r="T259" s="25" t="n"/>
      <c r="U259" s="25" t="n"/>
      <c r="V259" s="25" t="n"/>
      <c r="W259" s="25" t="n"/>
      <c r="X259" s="26" t="n"/>
      <c r="Y259" s="26" t="n"/>
      <c r="Z259" s="25" t="n"/>
    </row>
    <row r="260">
      <c r="A260" s="25" t="n"/>
      <c r="B260" s="26" t="n"/>
      <c r="C260" s="25" t="n"/>
      <c r="D260" s="25" t="n"/>
      <c r="E260" s="25" t="n"/>
      <c r="F260" s="25" t="n"/>
      <c r="G260" s="25" t="n"/>
      <c r="H260" s="25" t="n"/>
      <c r="I260" s="25" t="n"/>
      <c r="J260" s="27">
        <f>IF(G260="","",IFERROR(INDEX(Parámetros!$B$8:$B$20,MATCH(G260,Parámetros!$A$8:$A$20,0)),""))</f>
        <v/>
      </c>
      <c r="K260" s="16" t="n"/>
      <c r="L260" s="16" t="n"/>
      <c r="M260" s="28">
        <f>IF(A260="","",I260*J260-K260+L260)</f>
        <v/>
      </c>
      <c r="N260" s="27">
        <f>IF(A260="","",IFERROR(I260*INDEX(Parámetros!$C$8:$C$20,MATCH(G260,Parámetros!$A$8:$A$20,0)),0))</f>
        <v/>
      </c>
      <c r="O260" s="27">
        <f>IF(A260="","",IFERROR(I260*INDEX(Parámetros!$D$8:$D$20,MATCH(G260,Parámetros!$A$8:$A$20,0)),0))</f>
        <v/>
      </c>
      <c r="P260" s="28">
        <f>IF(A260="","",M260*Parámetros!$B$3+Parámetros!$B$4)</f>
        <v/>
      </c>
      <c r="Q260" s="16" t="n"/>
      <c r="R260" s="28">
        <f>IF(A260="","",M260/1.21-N260-O260-P260-Q260)</f>
        <v/>
      </c>
      <c r="S260" s="29">
        <f>IF(OR(A260="",M260=0),"",R260/(M260/1.21))</f>
        <v/>
      </c>
      <c r="T260" s="25" t="n"/>
      <c r="U260" s="25" t="n"/>
      <c r="V260" s="25" t="n"/>
      <c r="W260" s="25" t="n"/>
      <c r="X260" s="26" t="n"/>
      <c r="Y260" s="26" t="n"/>
      <c r="Z260" s="25" t="n"/>
    </row>
    <row r="261">
      <c r="A261" s="25" t="n"/>
      <c r="B261" s="26" t="n"/>
      <c r="C261" s="25" t="n"/>
      <c r="D261" s="25" t="n"/>
      <c r="E261" s="25" t="n"/>
      <c r="F261" s="25" t="n"/>
      <c r="G261" s="25" t="n"/>
      <c r="H261" s="25" t="n"/>
      <c r="I261" s="25" t="n"/>
      <c r="J261" s="27">
        <f>IF(G261="","",IFERROR(INDEX(Parámetros!$B$8:$B$20,MATCH(G261,Parámetros!$A$8:$A$20,0)),""))</f>
        <v/>
      </c>
      <c r="K261" s="16" t="n"/>
      <c r="L261" s="16" t="n"/>
      <c r="M261" s="28">
        <f>IF(A261="","",I261*J261-K261+L261)</f>
        <v/>
      </c>
      <c r="N261" s="27">
        <f>IF(A261="","",IFERROR(I261*INDEX(Parámetros!$C$8:$C$20,MATCH(G261,Parámetros!$A$8:$A$20,0)),0))</f>
        <v/>
      </c>
      <c r="O261" s="27">
        <f>IF(A261="","",IFERROR(I261*INDEX(Parámetros!$D$8:$D$20,MATCH(G261,Parámetros!$A$8:$A$20,0)),0))</f>
        <v/>
      </c>
      <c r="P261" s="28">
        <f>IF(A261="","",M261*Parámetros!$B$3+Parámetros!$B$4)</f>
        <v/>
      </c>
      <c r="Q261" s="16" t="n"/>
      <c r="R261" s="28">
        <f>IF(A261="","",M261/1.21-N261-O261-P261-Q261)</f>
        <v/>
      </c>
      <c r="S261" s="29">
        <f>IF(OR(A261="",M261=0),"",R261/(M261/1.21))</f>
        <v/>
      </c>
      <c r="T261" s="25" t="n"/>
      <c r="U261" s="25" t="n"/>
      <c r="V261" s="25" t="n"/>
      <c r="W261" s="25" t="n"/>
      <c r="X261" s="26" t="n"/>
      <c r="Y261" s="26" t="n"/>
      <c r="Z261" s="25" t="n"/>
    </row>
    <row r="262">
      <c r="A262" s="25" t="n"/>
      <c r="B262" s="26" t="n"/>
      <c r="C262" s="25" t="n"/>
      <c r="D262" s="25" t="n"/>
      <c r="E262" s="25" t="n"/>
      <c r="F262" s="25" t="n"/>
      <c r="G262" s="25" t="n"/>
      <c r="H262" s="25" t="n"/>
      <c r="I262" s="25" t="n"/>
      <c r="J262" s="27">
        <f>IF(G262="","",IFERROR(INDEX(Parámetros!$B$8:$B$20,MATCH(G262,Parámetros!$A$8:$A$20,0)),""))</f>
        <v/>
      </c>
      <c r="K262" s="16" t="n"/>
      <c r="L262" s="16" t="n"/>
      <c r="M262" s="28">
        <f>IF(A262="","",I262*J262-K262+L262)</f>
        <v/>
      </c>
      <c r="N262" s="27">
        <f>IF(A262="","",IFERROR(I262*INDEX(Parámetros!$C$8:$C$20,MATCH(G262,Parámetros!$A$8:$A$20,0)),0))</f>
        <v/>
      </c>
      <c r="O262" s="27">
        <f>IF(A262="","",IFERROR(I262*INDEX(Parámetros!$D$8:$D$20,MATCH(G262,Parámetros!$A$8:$A$20,0)),0))</f>
        <v/>
      </c>
      <c r="P262" s="28">
        <f>IF(A262="","",M262*Parámetros!$B$3+Parámetros!$B$4)</f>
        <v/>
      </c>
      <c r="Q262" s="16" t="n"/>
      <c r="R262" s="28">
        <f>IF(A262="","",M262/1.21-N262-O262-P262-Q262)</f>
        <v/>
      </c>
      <c r="S262" s="29">
        <f>IF(OR(A262="",M262=0),"",R262/(M262/1.21))</f>
        <v/>
      </c>
      <c r="T262" s="25" t="n"/>
      <c r="U262" s="25" t="n"/>
      <c r="V262" s="25" t="n"/>
      <c r="W262" s="25" t="n"/>
      <c r="X262" s="26" t="n"/>
      <c r="Y262" s="26" t="n"/>
      <c r="Z262" s="25" t="n"/>
    </row>
    <row r="263">
      <c r="A263" s="25" t="n"/>
      <c r="B263" s="26" t="n"/>
      <c r="C263" s="25" t="n"/>
      <c r="D263" s="25" t="n"/>
      <c r="E263" s="25" t="n"/>
      <c r="F263" s="25" t="n"/>
      <c r="G263" s="25" t="n"/>
      <c r="H263" s="25" t="n"/>
      <c r="I263" s="25" t="n"/>
      <c r="J263" s="27">
        <f>IF(G263="","",IFERROR(INDEX(Parámetros!$B$8:$B$20,MATCH(G263,Parámetros!$A$8:$A$20,0)),""))</f>
        <v/>
      </c>
      <c r="K263" s="16" t="n"/>
      <c r="L263" s="16" t="n"/>
      <c r="M263" s="28">
        <f>IF(A263="","",I263*J263-K263+L263)</f>
        <v/>
      </c>
      <c r="N263" s="27">
        <f>IF(A263="","",IFERROR(I263*INDEX(Parámetros!$C$8:$C$20,MATCH(G263,Parámetros!$A$8:$A$20,0)),0))</f>
        <v/>
      </c>
      <c r="O263" s="27">
        <f>IF(A263="","",IFERROR(I263*INDEX(Parámetros!$D$8:$D$20,MATCH(G263,Parámetros!$A$8:$A$20,0)),0))</f>
        <v/>
      </c>
      <c r="P263" s="28">
        <f>IF(A263="","",M263*Parámetros!$B$3+Parámetros!$B$4)</f>
        <v/>
      </c>
      <c r="Q263" s="16" t="n"/>
      <c r="R263" s="28">
        <f>IF(A263="","",M263/1.21-N263-O263-P263-Q263)</f>
        <v/>
      </c>
      <c r="S263" s="29">
        <f>IF(OR(A263="",M263=0),"",R263/(M263/1.21))</f>
        <v/>
      </c>
      <c r="T263" s="25" t="n"/>
      <c r="U263" s="25" t="n"/>
      <c r="V263" s="25" t="n"/>
      <c r="W263" s="25" t="n"/>
      <c r="X263" s="26" t="n"/>
      <c r="Y263" s="26" t="n"/>
      <c r="Z263" s="25" t="n"/>
    </row>
    <row r="264">
      <c r="A264" s="25" t="n"/>
      <c r="B264" s="26" t="n"/>
      <c r="C264" s="25" t="n"/>
      <c r="D264" s="25" t="n"/>
      <c r="E264" s="25" t="n"/>
      <c r="F264" s="25" t="n"/>
      <c r="G264" s="25" t="n"/>
      <c r="H264" s="25" t="n"/>
      <c r="I264" s="25" t="n"/>
      <c r="J264" s="27">
        <f>IF(G264="","",IFERROR(INDEX(Parámetros!$B$8:$B$20,MATCH(G264,Parámetros!$A$8:$A$20,0)),""))</f>
        <v/>
      </c>
      <c r="K264" s="16" t="n"/>
      <c r="L264" s="16" t="n"/>
      <c r="M264" s="28">
        <f>IF(A264="","",I264*J264-K264+L264)</f>
        <v/>
      </c>
      <c r="N264" s="27">
        <f>IF(A264="","",IFERROR(I264*INDEX(Parámetros!$C$8:$C$20,MATCH(G264,Parámetros!$A$8:$A$20,0)),0))</f>
        <v/>
      </c>
      <c r="O264" s="27">
        <f>IF(A264="","",IFERROR(I264*INDEX(Parámetros!$D$8:$D$20,MATCH(G264,Parámetros!$A$8:$A$20,0)),0))</f>
        <v/>
      </c>
      <c r="P264" s="28">
        <f>IF(A264="","",M264*Parámetros!$B$3+Parámetros!$B$4)</f>
        <v/>
      </c>
      <c r="Q264" s="16" t="n"/>
      <c r="R264" s="28">
        <f>IF(A264="","",M264/1.21-N264-O264-P264-Q264)</f>
        <v/>
      </c>
      <c r="S264" s="29">
        <f>IF(OR(A264="",M264=0),"",R264/(M264/1.21))</f>
        <v/>
      </c>
      <c r="T264" s="25" t="n"/>
      <c r="U264" s="25" t="n"/>
      <c r="V264" s="25" t="n"/>
      <c r="W264" s="25" t="n"/>
      <c r="X264" s="26" t="n"/>
      <c r="Y264" s="26" t="n"/>
      <c r="Z264" s="25" t="n"/>
    </row>
    <row r="265">
      <c r="A265" s="25" t="n"/>
      <c r="B265" s="26" t="n"/>
      <c r="C265" s="25" t="n"/>
      <c r="D265" s="25" t="n"/>
      <c r="E265" s="25" t="n"/>
      <c r="F265" s="25" t="n"/>
      <c r="G265" s="25" t="n"/>
      <c r="H265" s="25" t="n"/>
      <c r="I265" s="25" t="n"/>
      <c r="J265" s="27">
        <f>IF(G265="","",IFERROR(INDEX(Parámetros!$B$8:$B$20,MATCH(G265,Parámetros!$A$8:$A$20,0)),""))</f>
        <v/>
      </c>
      <c r="K265" s="16" t="n"/>
      <c r="L265" s="16" t="n"/>
      <c r="M265" s="28">
        <f>IF(A265="","",I265*J265-K265+L265)</f>
        <v/>
      </c>
      <c r="N265" s="27">
        <f>IF(A265="","",IFERROR(I265*INDEX(Parámetros!$C$8:$C$20,MATCH(G265,Parámetros!$A$8:$A$20,0)),0))</f>
        <v/>
      </c>
      <c r="O265" s="27">
        <f>IF(A265="","",IFERROR(I265*INDEX(Parámetros!$D$8:$D$20,MATCH(G265,Parámetros!$A$8:$A$20,0)),0))</f>
        <v/>
      </c>
      <c r="P265" s="28">
        <f>IF(A265="","",M265*Parámetros!$B$3+Parámetros!$B$4)</f>
        <v/>
      </c>
      <c r="Q265" s="16" t="n"/>
      <c r="R265" s="28">
        <f>IF(A265="","",M265/1.21-N265-O265-P265-Q265)</f>
        <v/>
      </c>
      <c r="S265" s="29">
        <f>IF(OR(A265="",M265=0),"",R265/(M265/1.21))</f>
        <v/>
      </c>
      <c r="T265" s="25" t="n"/>
      <c r="U265" s="25" t="n"/>
      <c r="V265" s="25" t="n"/>
      <c r="W265" s="25" t="n"/>
      <c r="X265" s="26" t="n"/>
      <c r="Y265" s="26" t="n"/>
      <c r="Z265" s="25" t="n"/>
    </row>
    <row r="266">
      <c r="A266" s="25" t="n"/>
      <c r="B266" s="26" t="n"/>
      <c r="C266" s="25" t="n"/>
      <c r="D266" s="25" t="n"/>
      <c r="E266" s="25" t="n"/>
      <c r="F266" s="25" t="n"/>
      <c r="G266" s="25" t="n"/>
      <c r="H266" s="25" t="n"/>
      <c r="I266" s="25" t="n"/>
      <c r="J266" s="27">
        <f>IF(G266="","",IFERROR(INDEX(Parámetros!$B$8:$B$20,MATCH(G266,Parámetros!$A$8:$A$20,0)),""))</f>
        <v/>
      </c>
      <c r="K266" s="16" t="n"/>
      <c r="L266" s="16" t="n"/>
      <c r="M266" s="28">
        <f>IF(A266="","",I266*J266-K266+L266)</f>
        <v/>
      </c>
      <c r="N266" s="27">
        <f>IF(A266="","",IFERROR(I266*INDEX(Parámetros!$C$8:$C$20,MATCH(G266,Parámetros!$A$8:$A$20,0)),0))</f>
        <v/>
      </c>
      <c r="O266" s="27">
        <f>IF(A266="","",IFERROR(I266*INDEX(Parámetros!$D$8:$D$20,MATCH(G266,Parámetros!$A$8:$A$20,0)),0))</f>
        <v/>
      </c>
      <c r="P266" s="28">
        <f>IF(A266="","",M266*Parámetros!$B$3+Parámetros!$B$4)</f>
        <v/>
      </c>
      <c r="Q266" s="16" t="n"/>
      <c r="R266" s="28">
        <f>IF(A266="","",M266/1.21-N266-O266-P266-Q266)</f>
        <v/>
      </c>
      <c r="S266" s="29">
        <f>IF(OR(A266="",M266=0),"",R266/(M266/1.21))</f>
        <v/>
      </c>
      <c r="T266" s="25" t="n"/>
      <c r="U266" s="25" t="n"/>
      <c r="V266" s="25" t="n"/>
      <c r="W266" s="25" t="n"/>
      <c r="X266" s="26" t="n"/>
      <c r="Y266" s="26" t="n"/>
      <c r="Z266" s="25" t="n"/>
    </row>
    <row r="267">
      <c r="A267" s="25" t="n"/>
      <c r="B267" s="26" t="n"/>
      <c r="C267" s="25" t="n"/>
      <c r="D267" s="25" t="n"/>
      <c r="E267" s="25" t="n"/>
      <c r="F267" s="25" t="n"/>
      <c r="G267" s="25" t="n"/>
      <c r="H267" s="25" t="n"/>
      <c r="I267" s="25" t="n"/>
      <c r="J267" s="27">
        <f>IF(G267="","",IFERROR(INDEX(Parámetros!$B$8:$B$20,MATCH(G267,Parámetros!$A$8:$A$20,0)),""))</f>
        <v/>
      </c>
      <c r="K267" s="16" t="n"/>
      <c r="L267" s="16" t="n"/>
      <c r="M267" s="28">
        <f>IF(A267="","",I267*J267-K267+L267)</f>
        <v/>
      </c>
      <c r="N267" s="27">
        <f>IF(A267="","",IFERROR(I267*INDEX(Parámetros!$C$8:$C$20,MATCH(G267,Parámetros!$A$8:$A$20,0)),0))</f>
        <v/>
      </c>
      <c r="O267" s="27">
        <f>IF(A267="","",IFERROR(I267*INDEX(Parámetros!$D$8:$D$20,MATCH(G267,Parámetros!$A$8:$A$20,0)),0))</f>
        <v/>
      </c>
      <c r="P267" s="28">
        <f>IF(A267="","",M267*Parámetros!$B$3+Parámetros!$B$4)</f>
        <v/>
      </c>
      <c r="Q267" s="16" t="n"/>
      <c r="R267" s="28">
        <f>IF(A267="","",M267/1.21-N267-O267-P267-Q267)</f>
        <v/>
      </c>
      <c r="S267" s="29">
        <f>IF(OR(A267="",M267=0),"",R267/(M267/1.21))</f>
        <v/>
      </c>
      <c r="T267" s="25" t="n"/>
      <c r="U267" s="25" t="n"/>
      <c r="V267" s="25" t="n"/>
      <c r="W267" s="25" t="n"/>
      <c r="X267" s="26" t="n"/>
      <c r="Y267" s="26" t="n"/>
      <c r="Z267" s="25" t="n"/>
    </row>
    <row r="268">
      <c r="A268" s="25" t="n"/>
      <c r="B268" s="26" t="n"/>
      <c r="C268" s="25" t="n"/>
      <c r="D268" s="25" t="n"/>
      <c r="E268" s="25" t="n"/>
      <c r="F268" s="25" t="n"/>
      <c r="G268" s="25" t="n"/>
      <c r="H268" s="25" t="n"/>
      <c r="I268" s="25" t="n"/>
      <c r="J268" s="27">
        <f>IF(G268="","",IFERROR(INDEX(Parámetros!$B$8:$B$20,MATCH(G268,Parámetros!$A$8:$A$20,0)),""))</f>
        <v/>
      </c>
      <c r="K268" s="16" t="n"/>
      <c r="L268" s="16" t="n"/>
      <c r="M268" s="28">
        <f>IF(A268="","",I268*J268-K268+L268)</f>
        <v/>
      </c>
      <c r="N268" s="27">
        <f>IF(A268="","",IFERROR(I268*INDEX(Parámetros!$C$8:$C$20,MATCH(G268,Parámetros!$A$8:$A$20,0)),0))</f>
        <v/>
      </c>
      <c r="O268" s="27">
        <f>IF(A268="","",IFERROR(I268*INDEX(Parámetros!$D$8:$D$20,MATCH(G268,Parámetros!$A$8:$A$20,0)),0))</f>
        <v/>
      </c>
      <c r="P268" s="28">
        <f>IF(A268="","",M268*Parámetros!$B$3+Parámetros!$B$4)</f>
        <v/>
      </c>
      <c r="Q268" s="16" t="n"/>
      <c r="R268" s="28">
        <f>IF(A268="","",M268/1.21-N268-O268-P268-Q268)</f>
        <v/>
      </c>
      <c r="S268" s="29">
        <f>IF(OR(A268="",M268=0),"",R268/(M268/1.21))</f>
        <v/>
      </c>
      <c r="T268" s="25" t="n"/>
      <c r="U268" s="25" t="n"/>
      <c r="V268" s="25" t="n"/>
      <c r="W268" s="25" t="n"/>
      <c r="X268" s="26" t="n"/>
      <c r="Y268" s="26" t="n"/>
      <c r="Z268" s="25" t="n"/>
    </row>
    <row r="269">
      <c r="A269" s="25" t="n"/>
      <c r="B269" s="26" t="n"/>
      <c r="C269" s="25" t="n"/>
      <c r="D269" s="25" t="n"/>
      <c r="E269" s="25" t="n"/>
      <c r="F269" s="25" t="n"/>
      <c r="G269" s="25" t="n"/>
      <c r="H269" s="25" t="n"/>
      <c r="I269" s="25" t="n"/>
      <c r="J269" s="27">
        <f>IF(G269="","",IFERROR(INDEX(Parámetros!$B$8:$B$20,MATCH(G269,Parámetros!$A$8:$A$20,0)),""))</f>
        <v/>
      </c>
      <c r="K269" s="16" t="n"/>
      <c r="L269" s="16" t="n"/>
      <c r="M269" s="28">
        <f>IF(A269="","",I269*J269-K269+L269)</f>
        <v/>
      </c>
      <c r="N269" s="27">
        <f>IF(A269="","",IFERROR(I269*INDEX(Parámetros!$C$8:$C$20,MATCH(G269,Parámetros!$A$8:$A$20,0)),0))</f>
        <v/>
      </c>
      <c r="O269" s="27">
        <f>IF(A269="","",IFERROR(I269*INDEX(Parámetros!$D$8:$D$20,MATCH(G269,Parámetros!$A$8:$A$20,0)),0))</f>
        <v/>
      </c>
      <c r="P269" s="28">
        <f>IF(A269="","",M269*Parámetros!$B$3+Parámetros!$B$4)</f>
        <v/>
      </c>
      <c r="Q269" s="16" t="n"/>
      <c r="R269" s="28">
        <f>IF(A269="","",M269/1.21-N269-O269-P269-Q269)</f>
        <v/>
      </c>
      <c r="S269" s="29">
        <f>IF(OR(A269="",M269=0),"",R269/(M269/1.21))</f>
        <v/>
      </c>
      <c r="T269" s="25" t="n"/>
      <c r="U269" s="25" t="n"/>
      <c r="V269" s="25" t="n"/>
      <c r="W269" s="25" t="n"/>
      <c r="X269" s="26" t="n"/>
      <c r="Y269" s="26" t="n"/>
      <c r="Z269" s="25" t="n"/>
    </row>
    <row r="270">
      <c r="A270" s="25" t="n"/>
      <c r="B270" s="26" t="n"/>
      <c r="C270" s="25" t="n"/>
      <c r="D270" s="25" t="n"/>
      <c r="E270" s="25" t="n"/>
      <c r="F270" s="25" t="n"/>
      <c r="G270" s="25" t="n"/>
      <c r="H270" s="25" t="n"/>
      <c r="I270" s="25" t="n"/>
      <c r="J270" s="27">
        <f>IF(G270="","",IFERROR(INDEX(Parámetros!$B$8:$B$20,MATCH(G270,Parámetros!$A$8:$A$20,0)),""))</f>
        <v/>
      </c>
      <c r="K270" s="16" t="n"/>
      <c r="L270" s="16" t="n"/>
      <c r="M270" s="28">
        <f>IF(A270="","",I270*J270-K270+L270)</f>
        <v/>
      </c>
      <c r="N270" s="27">
        <f>IF(A270="","",IFERROR(I270*INDEX(Parámetros!$C$8:$C$20,MATCH(G270,Parámetros!$A$8:$A$20,0)),0))</f>
        <v/>
      </c>
      <c r="O270" s="27">
        <f>IF(A270="","",IFERROR(I270*INDEX(Parámetros!$D$8:$D$20,MATCH(G270,Parámetros!$A$8:$A$20,0)),0))</f>
        <v/>
      </c>
      <c r="P270" s="28">
        <f>IF(A270="","",M270*Parámetros!$B$3+Parámetros!$B$4)</f>
        <v/>
      </c>
      <c r="Q270" s="16" t="n"/>
      <c r="R270" s="28">
        <f>IF(A270="","",M270/1.21-N270-O270-P270-Q270)</f>
        <v/>
      </c>
      <c r="S270" s="29">
        <f>IF(OR(A270="",M270=0),"",R270/(M270/1.21))</f>
        <v/>
      </c>
      <c r="T270" s="25" t="n"/>
      <c r="U270" s="25" t="n"/>
      <c r="V270" s="25" t="n"/>
      <c r="W270" s="25" t="n"/>
      <c r="X270" s="26" t="n"/>
      <c r="Y270" s="26" t="n"/>
      <c r="Z270" s="25" t="n"/>
    </row>
    <row r="271">
      <c r="A271" s="25" t="n"/>
      <c r="B271" s="26" t="n"/>
      <c r="C271" s="25" t="n"/>
      <c r="D271" s="25" t="n"/>
      <c r="E271" s="25" t="n"/>
      <c r="F271" s="25" t="n"/>
      <c r="G271" s="25" t="n"/>
      <c r="H271" s="25" t="n"/>
      <c r="I271" s="25" t="n"/>
      <c r="J271" s="27">
        <f>IF(G271="","",IFERROR(INDEX(Parámetros!$B$8:$B$20,MATCH(G271,Parámetros!$A$8:$A$20,0)),""))</f>
        <v/>
      </c>
      <c r="K271" s="16" t="n"/>
      <c r="L271" s="16" t="n"/>
      <c r="M271" s="28">
        <f>IF(A271="","",I271*J271-K271+L271)</f>
        <v/>
      </c>
      <c r="N271" s="27">
        <f>IF(A271="","",IFERROR(I271*INDEX(Parámetros!$C$8:$C$20,MATCH(G271,Parámetros!$A$8:$A$20,0)),0))</f>
        <v/>
      </c>
      <c r="O271" s="27">
        <f>IF(A271="","",IFERROR(I271*INDEX(Parámetros!$D$8:$D$20,MATCH(G271,Parámetros!$A$8:$A$20,0)),0))</f>
        <v/>
      </c>
      <c r="P271" s="28">
        <f>IF(A271="","",M271*Parámetros!$B$3+Parámetros!$B$4)</f>
        <v/>
      </c>
      <c r="Q271" s="16" t="n"/>
      <c r="R271" s="28">
        <f>IF(A271="","",M271/1.21-N271-O271-P271-Q271)</f>
        <v/>
      </c>
      <c r="S271" s="29">
        <f>IF(OR(A271="",M271=0),"",R271/(M271/1.21))</f>
        <v/>
      </c>
      <c r="T271" s="25" t="n"/>
      <c r="U271" s="25" t="n"/>
      <c r="V271" s="25" t="n"/>
      <c r="W271" s="25" t="n"/>
      <c r="X271" s="26" t="n"/>
      <c r="Y271" s="26" t="n"/>
      <c r="Z271" s="25" t="n"/>
    </row>
    <row r="272">
      <c r="A272" s="25" t="n"/>
      <c r="B272" s="26" t="n"/>
      <c r="C272" s="25" t="n"/>
      <c r="D272" s="25" t="n"/>
      <c r="E272" s="25" t="n"/>
      <c r="F272" s="25" t="n"/>
      <c r="G272" s="25" t="n"/>
      <c r="H272" s="25" t="n"/>
      <c r="I272" s="25" t="n"/>
      <c r="J272" s="27">
        <f>IF(G272="","",IFERROR(INDEX(Parámetros!$B$8:$B$20,MATCH(G272,Parámetros!$A$8:$A$20,0)),""))</f>
        <v/>
      </c>
      <c r="K272" s="16" t="n"/>
      <c r="L272" s="16" t="n"/>
      <c r="M272" s="28">
        <f>IF(A272="","",I272*J272-K272+L272)</f>
        <v/>
      </c>
      <c r="N272" s="27">
        <f>IF(A272="","",IFERROR(I272*INDEX(Parámetros!$C$8:$C$20,MATCH(G272,Parámetros!$A$8:$A$20,0)),0))</f>
        <v/>
      </c>
      <c r="O272" s="27">
        <f>IF(A272="","",IFERROR(I272*INDEX(Parámetros!$D$8:$D$20,MATCH(G272,Parámetros!$A$8:$A$20,0)),0))</f>
        <v/>
      </c>
      <c r="P272" s="28">
        <f>IF(A272="","",M272*Parámetros!$B$3+Parámetros!$B$4)</f>
        <v/>
      </c>
      <c r="Q272" s="16" t="n"/>
      <c r="R272" s="28">
        <f>IF(A272="","",M272/1.21-N272-O272-P272-Q272)</f>
        <v/>
      </c>
      <c r="S272" s="29">
        <f>IF(OR(A272="",M272=0),"",R272/(M272/1.21))</f>
        <v/>
      </c>
      <c r="T272" s="25" t="n"/>
      <c r="U272" s="25" t="n"/>
      <c r="V272" s="25" t="n"/>
      <c r="W272" s="25" t="n"/>
      <c r="X272" s="26" t="n"/>
      <c r="Y272" s="26" t="n"/>
      <c r="Z272" s="25" t="n"/>
    </row>
    <row r="273">
      <c r="A273" s="25" t="n"/>
      <c r="B273" s="26" t="n"/>
      <c r="C273" s="25" t="n"/>
      <c r="D273" s="25" t="n"/>
      <c r="E273" s="25" t="n"/>
      <c r="F273" s="25" t="n"/>
      <c r="G273" s="25" t="n"/>
      <c r="H273" s="25" t="n"/>
      <c r="I273" s="25" t="n"/>
      <c r="J273" s="27">
        <f>IF(G273="","",IFERROR(INDEX(Parámetros!$B$8:$B$20,MATCH(G273,Parámetros!$A$8:$A$20,0)),""))</f>
        <v/>
      </c>
      <c r="K273" s="16" t="n"/>
      <c r="L273" s="16" t="n"/>
      <c r="M273" s="28">
        <f>IF(A273="","",I273*J273-K273+L273)</f>
        <v/>
      </c>
      <c r="N273" s="27">
        <f>IF(A273="","",IFERROR(I273*INDEX(Parámetros!$C$8:$C$20,MATCH(G273,Parámetros!$A$8:$A$20,0)),0))</f>
        <v/>
      </c>
      <c r="O273" s="27">
        <f>IF(A273="","",IFERROR(I273*INDEX(Parámetros!$D$8:$D$20,MATCH(G273,Parámetros!$A$8:$A$20,0)),0))</f>
        <v/>
      </c>
      <c r="P273" s="28">
        <f>IF(A273="","",M273*Parámetros!$B$3+Parámetros!$B$4)</f>
        <v/>
      </c>
      <c r="Q273" s="16" t="n"/>
      <c r="R273" s="28">
        <f>IF(A273="","",M273/1.21-N273-O273-P273-Q273)</f>
        <v/>
      </c>
      <c r="S273" s="29">
        <f>IF(OR(A273="",M273=0),"",R273/(M273/1.21))</f>
        <v/>
      </c>
      <c r="T273" s="25" t="n"/>
      <c r="U273" s="25" t="n"/>
      <c r="V273" s="25" t="n"/>
      <c r="W273" s="25" t="n"/>
      <c r="X273" s="26" t="n"/>
      <c r="Y273" s="26" t="n"/>
      <c r="Z273" s="25" t="n"/>
    </row>
    <row r="274">
      <c r="A274" s="25" t="n"/>
      <c r="B274" s="26" t="n"/>
      <c r="C274" s="25" t="n"/>
      <c r="D274" s="25" t="n"/>
      <c r="E274" s="25" t="n"/>
      <c r="F274" s="25" t="n"/>
      <c r="G274" s="25" t="n"/>
      <c r="H274" s="25" t="n"/>
      <c r="I274" s="25" t="n"/>
      <c r="J274" s="27">
        <f>IF(G274="","",IFERROR(INDEX(Parámetros!$B$8:$B$20,MATCH(G274,Parámetros!$A$8:$A$20,0)),""))</f>
        <v/>
      </c>
      <c r="K274" s="16" t="n"/>
      <c r="L274" s="16" t="n"/>
      <c r="M274" s="28">
        <f>IF(A274="","",I274*J274-K274+L274)</f>
        <v/>
      </c>
      <c r="N274" s="27">
        <f>IF(A274="","",IFERROR(I274*INDEX(Parámetros!$C$8:$C$20,MATCH(G274,Parámetros!$A$8:$A$20,0)),0))</f>
        <v/>
      </c>
      <c r="O274" s="27">
        <f>IF(A274="","",IFERROR(I274*INDEX(Parámetros!$D$8:$D$20,MATCH(G274,Parámetros!$A$8:$A$20,0)),0))</f>
        <v/>
      </c>
      <c r="P274" s="28">
        <f>IF(A274="","",M274*Parámetros!$B$3+Parámetros!$B$4)</f>
        <v/>
      </c>
      <c r="Q274" s="16" t="n"/>
      <c r="R274" s="28">
        <f>IF(A274="","",M274/1.21-N274-O274-P274-Q274)</f>
        <v/>
      </c>
      <c r="S274" s="29">
        <f>IF(OR(A274="",M274=0),"",R274/(M274/1.21))</f>
        <v/>
      </c>
      <c r="T274" s="25" t="n"/>
      <c r="U274" s="25" t="n"/>
      <c r="V274" s="25" t="n"/>
      <c r="W274" s="25" t="n"/>
      <c r="X274" s="26" t="n"/>
      <c r="Y274" s="26" t="n"/>
      <c r="Z274" s="25" t="n"/>
    </row>
    <row r="275">
      <c r="A275" s="25" t="n"/>
      <c r="B275" s="26" t="n"/>
      <c r="C275" s="25" t="n"/>
      <c r="D275" s="25" t="n"/>
      <c r="E275" s="25" t="n"/>
      <c r="F275" s="25" t="n"/>
      <c r="G275" s="25" t="n"/>
      <c r="H275" s="25" t="n"/>
      <c r="I275" s="25" t="n"/>
      <c r="J275" s="27">
        <f>IF(G275="","",IFERROR(INDEX(Parámetros!$B$8:$B$20,MATCH(G275,Parámetros!$A$8:$A$20,0)),""))</f>
        <v/>
      </c>
      <c r="K275" s="16" t="n"/>
      <c r="L275" s="16" t="n"/>
      <c r="M275" s="28">
        <f>IF(A275="","",I275*J275-K275+L275)</f>
        <v/>
      </c>
      <c r="N275" s="27">
        <f>IF(A275="","",IFERROR(I275*INDEX(Parámetros!$C$8:$C$20,MATCH(G275,Parámetros!$A$8:$A$20,0)),0))</f>
        <v/>
      </c>
      <c r="O275" s="27">
        <f>IF(A275="","",IFERROR(I275*INDEX(Parámetros!$D$8:$D$20,MATCH(G275,Parámetros!$A$8:$A$20,0)),0))</f>
        <v/>
      </c>
      <c r="P275" s="28">
        <f>IF(A275="","",M275*Parámetros!$B$3+Parámetros!$B$4)</f>
        <v/>
      </c>
      <c r="Q275" s="16" t="n"/>
      <c r="R275" s="28">
        <f>IF(A275="","",M275/1.21-N275-O275-P275-Q275)</f>
        <v/>
      </c>
      <c r="S275" s="29">
        <f>IF(OR(A275="",M275=0),"",R275/(M275/1.21))</f>
        <v/>
      </c>
      <c r="T275" s="25" t="n"/>
      <c r="U275" s="25" t="n"/>
      <c r="V275" s="25" t="n"/>
      <c r="W275" s="25" t="n"/>
      <c r="X275" s="26" t="n"/>
      <c r="Y275" s="26" t="n"/>
      <c r="Z275" s="25" t="n"/>
    </row>
    <row r="276">
      <c r="A276" s="25" t="n"/>
      <c r="B276" s="26" t="n"/>
      <c r="C276" s="25" t="n"/>
      <c r="D276" s="25" t="n"/>
      <c r="E276" s="25" t="n"/>
      <c r="F276" s="25" t="n"/>
      <c r="G276" s="25" t="n"/>
      <c r="H276" s="25" t="n"/>
      <c r="I276" s="25" t="n"/>
      <c r="J276" s="27">
        <f>IF(G276="","",IFERROR(INDEX(Parámetros!$B$8:$B$20,MATCH(G276,Parámetros!$A$8:$A$20,0)),""))</f>
        <v/>
      </c>
      <c r="K276" s="16" t="n"/>
      <c r="L276" s="16" t="n"/>
      <c r="M276" s="28">
        <f>IF(A276="","",I276*J276-K276+L276)</f>
        <v/>
      </c>
      <c r="N276" s="27">
        <f>IF(A276="","",IFERROR(I276*INDEX(Parámetros!$C$8:$C$20,MATCH(G276,Parámetros!$A$8:$A$20,0)),0))</f>
        <v/>
      </c>
      <c r="O276" s="27">
        <f>IF(A276="","",IFERROR(I276*INDEX(Parámetros!$D$8:$D$20,MATCH(G276,Parámetros!$A$8:$A$20,0)),0))</f>
        <v/>
      </c>
      <c r="P276" s="28">
        <f>IF(A276="","",M276*Parámetros!$B$3+Parámetros!$B$4)</f>
        <v/>
      </c>
      <c r="Q276" s="16" t="n"/>
      <c r="R276" s="28">
        <f>IF(A276="","",M276/1.21-N276-O276-P276-Q276)</f>
        <v/>
      </c>
      <c r="S276" s="29">
        <f>IF(OR(A276="",M276=0),"",R276/(M276/1.21))</f>
        <v/>
      </c>
      <c r="T276" s="25" t="n"/>
      <c r="U276" s="25" t="n"/>
      <c r="V276" s="25" t="n"/>
      <c r="W276" s="25" t="n"/>
      <c r="X276" s="26" t="n"/>
      <c r="Y276" s="26" t="n"/>
      <c r="Z276" s="25" t="n"/>
    </row>
    <row r="277">
      <c r="A277" s="25" t="n"/>
      <c r="B277" s="26" t="n"/>
      <c r="C277" s="25" t="n"/>
      <c r="D277" s="25" t="n"/>
      <c r="E277" s="25" t="n"/>
      <c r="F277" s="25" t="n"/>
      <c r="G277" s="25" t="n"/>
      <c r="H277" s="25" t="n"/>
      <c r="I277" s="25" t="n"/>
      <c r="J277" s="27">
        <f>IF(G277="","",IFERROR(INDEX(Parámetros!$B$8:$B$20,MATCH(G277,Parámetros!$A$8:$A$20,0)),""))</f>
        <v/>
      </c>
      <c r="K277" s="16" t="n"/>
      <c r="L277" s="16" t="n"/>
      <c r="M277" s="28">
        <f>IF(A277="","",I277*J277-K277+L277)</f>
        <v/>
      </c>
      <c r="N277" s="27">
        <f>IF(A277="","",IFERROR(I277*INDEX(Parámetros!$C$8:$C$20,MATCH(G277,Parámetros!$A$8:$A$20,0)),0))</f>
        <v/>
      </c>
      <c r="O277" s="27">
        <f>IF(A277="","",IFERROR(I277*INDEX(Parámetros!$D$8:$D$20,MATCH(G277,Parámetros!$A$8:$A$20,0)),0))</f>
        <v/>
      </c>
      <c r="P277" s="28">
        <f>IF(A277="","",M277*Parámetros!$B$3+Parámetros!$B$4)</f>
        <v/>
      </c>
      <c r="Q277" s="16" t="n"/>
      <c r="R277" s="28">
        <f>IF(A277="","",M277/1.21-N277-O277-P277-Q277)</f>
        <v/>
      </c>
      <c r="S277" s="29">
        <f>IF(OR(A277="",M277=0),"",R277/(M277/1.21))</f>
        <v/>
      </c>
      <c r="T277" s="25" t="n"/>
      <c r="U277" s="25" t="n"/>
      <c r="V277" s="25" t="n"/>
      <c r="W277" s="25" t="n"/>
      <c r="X277" s="26" t="n"/>
      <c r="Y277" s="26" t="n"/>
      <c r="Z277" s="25" t="n"/>
    </row>
    <row r="278">
      <c r="A278" s="25" t="n"/>
      <c r="B278" s="26" t="n"/>
      <c r="C278" s="25" t="n"/>
      <c r="D278" s="25" t="n"/>
      <c r="E278" s="25" t="n"/>
      <c r="F278" s="25" t="n"/>
      <c r="G278" s="25" t="n"/>
      <c r="H278" s="25" t="n"/>
      <c r="I278" s="25" t="n"/>
      <c r="J278" s="27">
        <f>IF(G278="","",IFERROR(INDEX(Parámetros!$B$8:$B$20,MATCH(G278,Parámetros!$A$8:$A$20,0)),""))</f>
        <v/>
      </c>
      <c r="K278" s="16" t="n"/>
      <c r="L278" s="16" t="n"/>
      <c r="M278" s="28">
        <f>IF(A278="","",I278*J278-K278+L278)</f>
        <v/>
      </c>
      <c r="N278" s="27">
        <f>IF(A278="","",IFERROR(I278*INDEX(Parámetros!$C$8:$C$20,MATCH(G278,Parámetros!$A$8:$A$20,0)),0))</f>
        <v/>
      </c>
      <c r="O278" s="27">
        <f>IF(A278="","",IFERROR(I278*INDEX(Parámetros!$D$8:$D$20,MATCH(G278,Parámetros!$A$8:$A$20,0)),0))</f>
        <v/>
      </c>
      <c r="P278" s="28">
        <f>IF(A278="","",M278*Parámetros!$B$3+Parámetros!$B$4)</f>
        <v/>
      </c>
      <c r="Q278" s="16" t="n"/>
      <c r="R278" s="28">
        <f>IF(A278="","",M278/1.21-N278-O278-P278-Q278)</f>
        <v/>
      </c>
      <c r="S278" s="29">
        <f>IF(OR(A278="",M278=0),"",R278/(M278/1.21))</f>
        <v/>
      </c>
      <c r="T278" s="25" t="n"/>
      <c r="U278" s="25" t="n"/>
      <c r="V278" s="25" t="n"/>
      <c r="W278" s="25" t="n"/>
      <c r="X278" s="26" t="n"/>
      <c r="Y278" s="26" t="n"/>
      <c r="Z278" s="25" t="n"/>
    </row>
    <row r="279">
      <c r="A279" s="25" t="n"/>
      <c r="B279" s="26" t="n"/>
      <c r="C279" s="25" t="n"/>
      <c r="D279" s="25" t="n"/>
      <c r="E279" s="25" t="n"/>
      <c r="F279" s="25" t="n"/>
      <c r="G279" s="25" t="n"/>
      <c r="H279" s="25" t="n"/>
      <c r="I279" s="25" t="n"/>
      <c r="J279" s="27">
        <f>IF(G279="","",IFERROR(INDEX(Parámetros!$B$8:$B$20,MATCH(G279,Parámetros!$A$8:$A$20,0)),""))</f>
        <v/>
      </c>
      <c r="K279" s="16" t="n"/>
      <c r="L279" s="16" t="n"/>
      <c r="M279" s="28">
        <f>IF(A279="","",I279*J279-K279+L279)</f>
        <v/>
      </c>
      <c r="N279" s="27">
        <f>IF(A279="","",IFERROR(I279*INDEX(Parámetros!$C$8:$C$20,MATCH(G279,Parámetros!$A$8:$A$20,0)),0))</f>
        <v/>
      </c>
      <c r="O279" s="27">
        <f>IF(A279="","",IFERROR(I279*INDEX(Parámetros!$D$8:$D$20,MATCH(G279,Parámetros!$A$8:$A$20,0)),0))</f>
        <v/>
      </c>
      <c r="P279" s="28">
        <f>IF(A279="","",M279*Parámetros!$B$3+Parámetros!$B$4)</f>
        <v/>
      </c>
      <c r="Q279" s="16" t="n"/>
      <c r="R279" s="28">
        <f>IF(A279="","",M279/1.21-N279-O279-P279-Q279)</f>
        <v/>
      </c>
      <c r="S279" s="29">
        <f>IF(OR(A279="",M279=0),"",R279/(M279/1.21))</f>
        <v/>
      </c>
      <c r="T279" s="25" t="n"/>
      <c r="U279" s="25" t="n"/>
      <c r="V279" s="25" t="n"/>
      <c r="W279" s="25" t="n"/>
      <c r="X279" s="26" t="n"/>
      <c r="Y279" s="26" t="n"/>
      <c r="Z279" s="25" t="n"/>
    </row>
    <row r="280">
      <c r="A280" s="25" t="n"/>
      <c r="B280" s="26" t="n"/>
      <c r="C280" s="25" t="n"/>
      <c r="D280" s="25" t="n"/>
      <c r="E280" s="25" t="n"/>
      <c r="F280" s="25" t="n"/>
      <c r="G280" s="25" t="n"/>
      <c r="H280" s="25" t="n"/>
      <c r="I280" s="25" t="n"/>
      <c r="J280" s="27">
        <f>IF(G280="","",IFERROR(INDEX(Parámetros!$B$8:$B$20,MATCH(G280,Parámetros!$A$8:$A$20,0)),""))</f>
        <v/>
      </c>
      <c r="K280" s="16" t="n"/>
      <c r="L280" s="16" t="n"/>
      <c r="M280" s="28">
        <f>IF(A280="","",I280*J280-K280+L280)</f>
        <v/>
      </c>
      <c r="N280" s="27">
        <f>IF(A280="","",IFERROR(I280*INDEX(Parámetros!$C$8:$C$20,MATCH(G280,Parámetros!$A$8:$A$20,0)),0))</f>
        <v/>
      </c>
      <c r="O280" s="27">
        <f>IF(A280="","",IFERROR(I280*INDEX(Parámetros!$D$8:$D$20,MATCH(G280,Parámetros!$A$8:$A$20,0)),0))</f>
        <v/>
      </c>
      <c r="P280" s="28">
        <f>IF(A280="","",M280*Parámetros!$B$3+Parámetros!$B$4)</f>
        <v/>
      </c>
      <c r="Q280" s="16" t="n"/>
      <c r="R280" s="28">
        <f>IF(A280="","",M280/1.21-N280-O280-P280-Q280)</f>
        <v/>
      </c>
      <c r="S280" s="29">
        <f>IF(OR(A280="",M280=0),"",R280/(M280/1.21))</f>
        <v/>
      </c>
      <c r="T280" s="25" t="n"/>
      <c r="U280" s="25" t="n"/>
      <c r="V280" s="25" t="n"/>
      <c r="W280" s="25" t="n"/>
      <c r="X280" s="26" t="n"/>
      <c r="Y280" s="26" t="n"/>
      <c r="Z280" s="25" t="n"/>
    </row>
    <row r="281">
      <c r="A281" s="25" t="n"/>
      <c r="B281" s="26" t="n"/>
      <c r="C281" s="25" t="n"/>
      <c r="D281" s="25" t="n"/>
      <c r="E281" s="25" t="n"/>
      <c r="F281" s="25" t="n"/>
      <c r="G281" s="25" t="n"/>
      <c r="H281" s="25" t="n"/>
      <c r="I281" s="25" t="n"/>
      <c r="J281" s="27">
        <f>IF(G281="","",IFERROR(INDEX(Parámetros!$B$8:$B$20,MATCH(G281,Parámetros!$A$8:$A$20,0)),""))</f>
        <v/>
      </c>
      <c r="K281" s="16" t="n"/>
      <c r="L281" s="16" t="n"/>
      <c r="M281" s="28">
        <f>IF(A281="","",I281*J281-K281+L281)</f>
        <v/>
      </c>
      <c r="N281" s="27">
        <f>IF(A281="","",IFERROR(I281*INDEX(Parámetros!$C$8:$C$20,MATCH(G281,Parámetros!$A$8:$A$20,0)),0))</f>
        <v/>
      </c>
      <c r="O281" s="27">
        <f>IF(A281="","",IFERROR(I281*INDEX(Parámetros!$D$8:$D$20,MATCH(G281,Parámetros!$A$8:$A$20,0)),0))</f>
        <v/>
      </c>
      <c r="P281" s="28">
        <f>IF(A281="","",M281*Parámetros!$B$3+Parámetros!$B$4)</f>
        <v/>
      </c>
      <c r="Q281" s="16" t="n"/>
      <c r="R281" s="28">
        <f>IF(A281="","",M281/1.21-N281-O281-P281-Q281)</f>
        <v/>
      </c>
      <c r="S281" s="29">
        <f>IF(OR(A281="",M281=0),"",R281/(M281/1.21))</f>
        <v/>
      </c>
      <c r="T281" s="25" t="n"/>
      <c r="U281" s="25" t="n"/>
      <c r="V281" s="25" t="n"/>
      <c r="W281" s="25" t="n"/>
      <c r="X281" s="26" t="n"/>
      <c r="Y281" s="26" t="n"/>
      <c r="Z281" s="25" t="n"/>
    </row>
    <row r="282">
      <c r="A282" s="25" t="n"/>
      <c r="B282" s="26" t="n"/>
      <c r="C282" s="25" t="n"/>
      <c r="D282" s="25" t="n"/>
      <c r="E282" s="25" t="n"/>
      <c r="F282" s="25" t="n"/>
      <c r="G282" s="25" t="n"/>
      <c r="H282" s="25" t="n"/>
      <c r="I282" s="25" t="n"/>
      <c r="J282" s="27">
        <f>IF(G282="","",IFERROR(INDEX(Parámetros!$B$8:$B$20,MATCH(G282,Parámetros!$A$8:$A$20,0)),""))</f>
        <v/>
      </c>
      <c r="K282" s="16" t="n"/>
      <c r="L282" s="16" t="n"/>
      <c r="M282" s="28">
        <f>IF(A282="","",I282*J282-K282+L282)</f>
        <v/>
      </c>
      <c r="N282" s="27">
        <f>IF(A282="","",IFERROR(I282*INDEX(Parámetros!$C$8:$C$20,MATCH(G282,Parámetros!$A$8:$A$20,0)),0))</f>
        <v/>
      </c>
      <c r="O282" s="27">
        <f>IF(A282="","",IFERROR(I282*INDEX(Parámetros!$D$8:$D$20,MATCH(G282,Parámetros!$A$8:$A$20,0)),0))</f>
        <v/>
      </c>
      <c r="P282" s="28">
        <f>IF(A282="","",M282*Parámetros!$B$3+Parámetros!$B$4)</f>
        <v/>
      </c>
      <c r="Q282" s="16" t="n"/>
      <c r="R282" s="28">
        <f>IF(A282="","",M282/1.21-N282-O282-P282-Q282)</f>
        <v/>
      </c>
      <c r="S282" s="29">
        <f>IF(OR(A282="",M282=0),"",R282/(M282/1.21))</f>
        <v/>
      </c>
      <c r="T282" s="25" t="n"/>
      <c r="U282" s="25" t="n"/>
      <c r="V282" s="25" t="n"/>
      <c r="W282" s="25" t="n"/>
      <c r="X282" s="26" t="n"/>
      <c r="Y282" s="26" t="n"/>
      <c r="Z282" s="25" t="n"/>
    </row>
    <row r="283">
      <c r="A283" s="25" t="n"/>
      <c r="B283" s="26" t="n"/>
      <c r="C283" s="25" t="n"/>
      <c r="D283" s="25" t="n"/>
      <c r="E283" s="25" t="n"/>
      <c r="F283" s="25" t="n"/>
      <c r="G283" s="25" t="n"/>
      <c r="H283" s="25" t="n"/>
      <c r="I283" s="25" t="n"/>
      <c r="J283" s="27">
        <f>IF(G283="","",IFERROR(INDEX(Parámetros!$B$8:$B$20,MATCH(G283,Parámetros!$A$8:$A$20,0)),""))</f>
        <v/>
      </c>
      <c r="K283" s="16" t="n"/>
      <c r="L283" s="16" t="n"/>
      <c r="M283" s="28">
        <f>IF(A283="","",I283*J283-K283+L283)</f>
        <v/>
      </c>
      <c r="N283" s="27">
        <f>IF(A283="","",IFERROR(I283*INDEX(Parámetros!$C$8:$C$20,MATCH(G283,Parámetros!$A$8:$A$20,0)),0))</f>
        <v/>
      </c>
      <c r="O283" s="27">
        <f>IF(A283="","",IFERROR(I283*INDEX(Parámetros!$D$8:$D$20,MATCH(G283,Parámetros!$A$8:$A$20,0)),0))</f>
        <v/>
      </c>
      <c r="P283" s="28">
        <f>IF(A283="","",M283*Parámetros!$B$3+Parámetros!$B$4)</f>
        <v/>
      </c>
      <c r="Q283" s="16" t="n"/>
      <c r="R283" s="28">
        <f>IF(A283="","",M283/1.21-N283-O283-P283-Q283)</f>
        <v/>
      </c>
      <c r="S283" s="29">
        <f>IF(OR(A283="",M283=0),"",R283/(M283/1.21))</f>
        <v/>
      </c>
      <c r="T283" s="25" t="n"/>
      <c r="U283" s="25" t="n"/>
      <c r="V283" s="25" t="n"/>
      <c r="W283" s="25" t="n"/>
      <c r="X283" s="26" t="n"/>
      <c r="Y283" s="26" t="n"/>
      <c r="Z283" s="25" t="n"/>
    </row>
    <row r="284">
      <c r="A284" s="25" t="n"/>
      <c r="B284" s="26" t="n"/>
      <c r="C284" s="25" t="n"/>
      <c r="D284" s="25" t="n"/>
      <c r="E284" s="25" t="n"/>
      <c r="F284" s="25" t="n"/>
      <c r="G284" s="25" t="n"/>
      <c r="H284" s="25" t="n"/>
      <c r="I284" s="25" t="n"/>
      <c r="J284" s="27">
        <f>IF(G284="","",IFERROR(INDEX(Parámetros!$B$8:$B$20,MATCH(G284,Parámetros!$A$8:$A$20,0)),""))</f>
        <v/>
      </c>
      <c r="K284" s="16" t="n"/>
      <c r="L284" s="16" t="n"/>
      <c r="M284" s="28">
        <f>IF(A284="","",I284*J284-K284+L284)</f>
        <v/>
      </c>
      <c r="N284" s="27">
        <f>IF(A284="","",IFERROR(I284*INDEX(Parámetros!$C$8:$C$20,MATCH(G284,Parámetros!$A$8:$A$20,0)),0))</f>
        <v/>
      </c>
      <c r="O284" s="27">
        <f>IF(A284="","",IFERROR(I284*INDEX(Parámetros!$D$8:$D$20,MATCH(G284,Parámetros!$A$8:$A$20,0)),0))</f>
        <v/>
      </c>
      <c r="P284" s="28">
        <f>IF(A284="","",M284*Parámetros!$B$3+Parámetros!$B$4)</f>
        <v/>
      </c>
      <c r="Q284" s="16" t="n"/>
      <c r="R284" s="28">
        <f>IF(A284="","",M284/1.21-N284-O284-P284-Q284)</f>
        <v/>
      </c>
      <c r="S284" s="29">
        <f>IF(OR(A284="",M284=0),"",R284/(M284/1.21))</f>
        <v/>
      </c>
      <c r="T284" s="25" t="n"/>
      <c r="U284" s="25" t="n"/>
      <c r="V284" s="25" t="n"/>
      <c r="W284" s="25" t="n"/>
      <c r="X284" s="26" t="n"/>
      <c r="Y284" s="26" t="n"/>
      <c r="Z284" s="25" t="n"/>
    </row>
    <row r="285">
      <c r="A285" s="25" t="n"/>
      <c r="B285" s="26" t="n"/>
      <c r="C285" s="25" t="n"/>
      <c r="D285" s="25" t="n"/>
      <c r="E285" s="25" t="n"/>
      <c r="F285" s="25" t="n"/>
      <c r="G285" s="25" t="n"/>
      <c r="H285" s="25" t="n"/>
      <c r="I285" s="25" t="n"/>
      <c r="J285" s="27">
        <f>IF(G285="","",IFERROR(INDEX(Parámetros!$B$8:$B$20,MATCH(G285,Parámetros!$A$8:$A$20,0)),""))</f>
        <v/>
      </c>
      <c r="K285" s="16" t="n"/>
      <c r="L285" s="16" t="n"/>
      <c r="M285" s="28">
        <f>IF(A285="","",I285*J285-K285+L285)</f>
        <v/>
      </c>
      <c r="N285" s="27">
        <f>IF(A285="","",IFERROR(I285*INDEX(Parámetros!$C$8:$C$20,MATCH(G285,Parámetros!$A$8:$A$20,0)),0))</f>
        <v/>
      </c>
      <c r="O285" s="27">
        <f>IF(A285="","",IFERROR(I285*INDEX(Parámetros!$D$8:$D$20,MATCH(G285,Parámetros!$A$8:$A$20,0)),0))</f>
        <v/>
      </c>
      <c r="P285" s="28">
        <f>IF(A285="","",M285*Parámetros!$B$3+Parámetros!$B$4)</f>
        <v/>
      </c>
      <c r="Q285" s="16" t="n"/>
      <c r="R285" s="28">
        <f>IF(A285="","",M285/1.21-N285-O285-P285-Q285)</f>
        <v/>
      </c>
      <c r="S285" s="29">
        <f>IF(OR(A285="",M285=0),"",R285/(M285/1.21))</f>
        <v/>
      </c>
      <c r="T285" s="25" t="n"/>
      <c r="U285" s="25" t="n"/>
      <c r="V285" s="25" t="n"/>
      <c r="W285" s="25" t="n"/>
      <c r="X285" s="26" t="n"/>
      <c r="Y285" s="26" t="n"/>
      <c r="Z285" s="25" t="n"/>
    </row>
    <row r="286">
      <c r="A286" s="25" t="n"/>
      <c r="B286" s="26" t="n"/>
      <c r="C286" s="25" t="n"/>
      <c r="D286" s="25" t="n"/>
      <c r="E286" s="25" t="n"/>
      <c r="F286" s="25" t="n"/>
      <c r="G286" s="25" t="n"/>
      <c r="H286" s="25" t="n"/>
      <c r="I286" s="25" t="n"/>
      <c r="J286" s="27">
        <f>IF(G286="","",IFERROR(INDEX(Parámetros!$B$8:$B$20,MATCH(G286,Parámetros!$A$8:$A$20,0)),""))</f>
        <v/>
      </c>
      <c r="K286" s="16" t="n"/>
      <c r="L286" s="16" t="n"/>
      <c r="M286" s="28">
        <f>IF(A286="","",I286*J286-K286+L286)</f>
        <v/>
      </c>
      <c r="N286" s="27">
        <f>IF(A286="","",IFERROR(I286*INDEX(Parámetros!$C$8:$C$20,MATCH(G286,Parámetros!$A$8:$A$20,0)),0))</f>
        <v/>
      </c>
      <c r="O286" s="27">
        <f>IF(A286="","",IFERROR(I286*INDEX(Parámetros!$D$8:$D$20,MATCH(G286,Parámetros!$A$8:$A$20,0)),0))</f>
        <v/>
      </c>
      <c r="P286" s="28">
        <f>IF(A286="","",M286*Parámetros!$B$3+Parámetros!$B$4)</f>
        <v/>
      </c>
      <c r="Q286" s="16" t="n"/>
      <c r="R286" s="28">
        <f>IF(A286="","",M286/1.21-N286-O286-P286-Q286)</f>
        <v/>
      </c>
      <c r="S286" s="29">
        <f>IF(OR(A286="",M286=0),"",R286/(M286/1.21))</f>
        <v/>
      </c>
      <c r="T286" s="25" t="n"/>
      <c r="U286" s="25" t="n"/>
      <c r="V286" s="25" t="n"/>
      <c r="W286" s="25" t="n"/>
      <c r="X286" s="26" t="n"/>
      <c r="Y286" s="26" t="n"/>
      <c r="Z286" s="25" t="n"/>
    </row>
    <row r="287">
      <c r="A287" s="25" t="n"/>
      <c r="B287" s="26" t="n"/>
      <c r="C287" s="25" t="n"/>
      <c r="D287" s="25" t="n"/>
      <c r="E287" s="25" t="n"/>
      <c r="F287" s="25" t="n"/>
      <c r="G287" s="25" t="n"/>
      <c r="H287" s="25" t="n"/>
      <c r="I287" s="25" t="n"/>
      <c r="J287" s="27">
        <f>IF(G287="","",IFERROR(INDEX(Parámetros!$B$8:$B$20,MATCH(G287,Parámetros!$A$8:$A$20,0)),""))</f>
        <v/>
      </c>
      <c r="K287" s="16" t="n"/>
      <c r="L287" s="16" t="n"/>
      <c r="M287" s="28">
        <f>IF(A287="","",I287*J287-K287+L287)</f>
        <v/>
      </c>
      <c r="N287" s="27">
        <f>IF(A287="","",IFERROR(I287*INDEX(Parámetros!$C$8:$C$20,MATCH(G287,Parámetros!$A$8:$A$20,0)),0))</f>
        <v/>
      </c>
      <c r="O287" s="27">
        <f>IF(A287="","",IFERROR(I287*INDEX(Parámetros!$D$8:$D$20,MATCH(G287,Parámetros!$A$8:$A$20,0)),0))</f>
        <v/>
      </c>
      <c r="P287" s="28">
        <f>IF(A287="","",M287*Parámetros!$B$3+Parámetros!$B$4)</f>
        <v/>
      </c>
      <c r="Q287" s="16" t="n"/>
      <c r="R287" s="28">
        <f>IF(A287="","",M287/1.21-N287-O287-P287-Q287)</f>
        <v/>
      </c>
      <c r="S287" s="29">
        <f>IF(OR(A287="",M287=0),"",R287/(M287/1.21))</f>
        <v/>
      </c>
      <c r="T287" s="25" t="n"/>
      <c r="U287" s="25" t="n"/>
      <c r="V287" s="25" t="n"/>
      <c r="W287" s="25" t="n"/>
      <c r="X287" s="26" t="n"/>
      <c r="Y287" s="26" t="n"/>
      <c r="Z287" s="25" t="n"/>
    </row>
    <row r="288">
      <c r="A288" s="25" t="n"/>
      <c r="B288" s="26" t="n"/>
      <c r="C288" s="25" t="n"/>
      <c r="D288" s="25" t="n"/>
      <c r="E288" s="25" t="n"/>
      <c r="F288" s="25" t="n"/>
      <c r="G288" s="25" t="n"/>
      <c r="H288" s="25" t="n"/>
      <c r="I288" s="25" t="n"/>
      <c r="J288" s="27">
        <f>IF(G288="","",IFERROR(INDEX(Parámetros!$B$8:$B$20,MATCH(G288,Parámetros!$A$8:$A$20,0)),""))</f>
        <v/>
      </c>
      <c r="K288" s="16" t="n"/>
      <c r="L288" s="16" t="n"/>
      <c r="M288" s="28">
        <f>IF(A288="","",I288*J288-K288+L288)</f>
        <v/>
      </c>
      <c r="N288" s="27">
        <f>IF(A288="","",IFERROR(I288*INDEX(Parámetros!$C$8:$C$20,MATCH(G288,Parámetros!$A$8:$A$20,0)),0))</f>
        <v/>
      </c>
      <c r="O288" s="27">
        <f>IF(A288="","",IFERROR(I288*INDEX(Parámetros!$D$8:$D$20,MATCH(G288,Parámetros!$A$8:$A$20,0)),0))</f>
        <v/>
      </c>
      <c r="P288" s="28">
        <f>IF(A288="","",M288*Parámetros!$B$3+Parámetros!$B$4)</f>
        <v/>
      </c>
      <c r="Q288" s="16" t="n"/>
      <c r="R288" s="28">
        <f>IF(A288="","",M288/1.21-N288-O288-P288-Q288)</f>
        <v/>
      </c>
      <c r="S288" s="29">
        <f>IF(OR(A288="",M288=0),"",R288/(M288/1.21))</f>
        <v/>
      </c>
      <c r="T288" s="25" t="n"/>
      <c r="U288" s="25" t="n"/>
      <c r="V288" s="25" t="n"/>
      <c r="W288" s="25" t="n"/>
      <c r="X288" s="26" t="n"/>
      <c r="Y288" s="26" t="n"/>
      <c r="Z288" s="25" t="n"/>
    </row>
    <row r="289">
      <c r="A289" s="25" t="n"/>
      <c r="B289" s="26" t="n"/>
      <c r="C289" s="25" t="n"/>
      <c r="D289" s="25" t="n"/>
      <c r="E289" s="25" t="n"/>
      <c r="F289" s="25" t="n"/>
      <c r="G289" s="25" t="n"/>
      <c r="H289" s="25" t="n"/>
      <c r="I289" s="25" t="n"/>
      <c r="J289" s="27">
        <f>IF(G289="","",IFERROR(INDEX(Parámetros!$B$8:$B$20,MATCH(G289,Parámetros!$A$8:$A$20,0)),""))</f>
        <v/>
      </c>
      <c r="K289" s="16" t="n"/>
      <c r="L289" s="16" t="n"/>
      <c r="M289" s="28">
        <f>IF(A289="","",I289*J289-K289+L289)</f>
        <v/>
      </c>
      <c r="N289" s="27">
        <f>IF(A289="","",IFERROR(I289*INDEX(Parámetros!$C$8:$C$20,MATCH(G289,Parámetros!$A$8:$A$20,0)),0))</f>
        <v/>
      </c>
      <c r="O289" s="27">
        <f>IF(A289="","",IFERROR(I289*INDEX(Parámetros!$D$8:$D$20,MATCH(G289,Parámetros!$A$8:$A$20,0)),0))</f>
        <v/>
      </c>
      <c r="P289" s="28">
        <f>IF(A289="","",M289*Parámetros!$B$3+Parámetros!$B$4)</f>
        <v/>
      </c>
      <c r="Q289" s="16" t="n"/>
      <c r="R289" s="28">
        <f>IF(A289="","",M289/1.21-N289-O289-P289-Q289)</f>
        <v/>
      </c>
      <c r="S289" s="29">
        <f>IF(OR(A289="",M289=0),"",R289/(M289/1.21))</f>
        <v/>
      </c>
      <c r="T289" s="25" t="n"/>
      <c r="U289" s="25" t="n"/>
      <c r="V289" s="25" t="n"/>
      <c r="W289" s="25" t="n"/>
      <c r="X289" s="26" t="n"/>
      <c r="Y289" s="26" t="n"/>
      <c r="Z289" s="25" t="n"/>
    </row>
    <row r="290">
      <c r="A290" s="25" t="n"/>
      <c r="B290" s="26" t="n"/>
      <c r="C290" s="25" t="n"/>
      <c r="D290" s="25" t="n"/>
      <c r="E290" s="25" t="n"/>
      <c r="F290" s="25" t="n"/>
      <c r="G290" s="25" t="n"/>
      <c r="H290" s="25" t="n"/>
      <c r="I290" s="25" t="n"/>
      <c r="J290" s="27">
        <f>IF(G290="","",IFERROR(INDEX(Parámetros!$B$8:$B$20,MATCH(G290,Parámetros!$A$8:$A$20,0)),""))</f>
        <v/>
      </c>
      <c r="K290" s="16" t="n"/>
      <c r="L290" s="16" t="n"/>
      <c r="M290" s="28">
        <f>IF(A290="","",I290*J290-K290+L290)</f>
        <v/>
      </c>
      <c r="N290" s="27">
        <f>IF(A290="","",IFERROR(I290*INDEX(Parámetros!$C$8:$C$20,MATCH(G290,Parámetros!$A$8:$A$20,0)),0))</f>
        <v/>
      </c>
      <c r="O290" s="27">
        <f>IF(A290="","",IFERROR(I290*INDEX(Parámetros!$D$8:$D$20,MATCH(G290,Parámetros!$A$8:$A$20,0)),0))</f>
        <v/>
      </c>
      <c r="P290" s="28">
        <f>IF(A290="","",M290*Parámetros!$B$3+Parámetros!$B$4)</f>
        <v/>
      </c>
      <c r="Q290" s="16" t="n"/>
      <c r="R290" s="28">
        <f>IF(A290="","",M290/1.21-N290-O290-P290-Q290)</f>
        <v/>
      </c>
      <c r="S290" s="29">
        <f>IF(OR(A290="",M290=0),"",R290/(M290/1.21))</f>
        <v/>
      </c>
      <c r="T290" s="25" t="n"/>
      <c r="U290" s="25" t="n"/>
      <c r="V290" s="25" t="n"/>
      <c r="W290" s="25" t="n"/>
      <c r="X290" s="26" t="n"/>
      <c r="Y290" s="26" t="n"/>
      <c r="Z290" s="25" t="n"/>
    </row>
    <row r="291">
      <c r="A291" s="25" t="n"/>
      <c r="B291" s="26" t="n"/>
      <c r="C291" s="25" t="n"/>
      <c r="D291" s="25" t="n"/>
      <c r="E291" s="25" t="n"/>
      <c r="F291" s="25" t="n"/>
      <c r="G291" s="25" t="n"/>
      <c r="H291" s="25" t="n"/>
      <c r="I291" s="25" t="n"/>
      <c r="J291" s="27">
        <f>IF(G291="","",IFERROR(INDEX(Parámetros!$B$8:$B$20,MATCH(G291,Parámetros!$A$8:$A$20,0)),""))</f>
        <v/>
      </c>
      <c r="K291" s="16" t="n"/>
      <c r="L291" s="16" t="n"/>
      <c r="M291" s="28">
        <f>IF(A291="","",I291*J291-K291+L291)</f>
        <v/>
      </c>
      <c r="N291" s="27">
        <f>IF(A291="","",IFERROR(I291*INDEX(Parámetros!$C$8:$C$20,MATCH(G291,Parámetros!$A$8:$A$20,0)),0))</f>
        <v/>
      </c>
      <c r="O291" s="27">
        <f>IF(A291="","",IFERROR(I291*INDEX(Parámetros!$D$8:$D$20,MATCH(G291,Parámetros!$A$8:$A$20,0)),0))</f>
        <v/>
      </c>
      <c r="P291" s="28">
        <f>IF(A291="","",M291*Parámetros!$B$3+Parámetros!$B$4)</f>
        <v/>
      </c>
      <c r="Q291" s="16" t="n"/>
      <c r="R291" s="28">
        <f>IF(A291="","",M291/1.21-N291-O291-P291-Q291)</f>
        <v/>
      </c>
      <c r="S291" s="29">
        <f>IF(OR(A291="",M291=0),"",R291/(M291/1.21))</f>
        <v/>
      </c>
      <c r="T291" s="25" t="n"/>
      <c r="U291" s="25" t="n"/>
      <c r="V291" s="25" t="n"/>
      <c r="W291" s="25" t="n"/>
      <c r="X291" s="26" t="n"/>
      <c r="Y291" s="26" t="n"/>
      <c r="Z291" s="25" t="n"/>
    </row>
    <row r="292">
      <c r="A292" s="25" t="n"/>
      <c r="B292" s="26" t="n"/>
      <c r="C292" s="25" t="n"/>
      <c r="D292" s="25" t="n"/>
      <c r="E292" s="25" t="n"/>
      <c r="F292" s="25" t="n"/>
      <c r="G292" s="25" t="n"/>
      <c r="H292" s="25" t="n"/>
      <c r="I292" s="25" t="n"/>
      <c r="J292" s="27">
        <f>IF(G292="","",IFERROR(INDEX(Parámetros!$B$8:$B$20,MATCH(G292,Parámetros!$A$8:$A$20,0)),""))</f>
        <v/>
      </c>
      <c r="K292" s="16" t="n"/>
      <c r="L292" s="16" t="n"/>
      <c r="M292" s="28">
        <f>IF(A292="","",I292*J292-K292+L292)</f>
        <v/>
      </c>
      <c r="N292" s="27">
        <f>IF(A292="","",IFERROR(I292*INDEX(Parámetros!$C$8:$C$20,MATCH(G292,Parámetros!$A$8:$A$20,0)),0))</f>
        <v/>
      </c>
      <c r="O292" s="27">
        <f>IF(A292="","",IFERROR(I292*INDEX(Parámetros!$D$8:$D$20,MATCH(G292,Parámetros!$A$8:$A$20,0)),0))</f>
        <v/>
      </c>
      <c r="P292" s="28">
        <f>IF(A292="","",M292*Parámetros!$B$3+Parámetros!$B$4)</f>
        <v/>
      </c>
      <c r="Q292" s="16" t="n"/>
      <c r="R292" s="28">
        <f>IF(A292="","",M292/1.21-N292-O292-P292-Q292)</f>
        <v/>
      </c>
      <c r="S292" s="29">
        <f>IF(OR(A292="",M292=0),"",R292/(M292/1.21))</f>
        <v/>
      </c>
      <c r="T292" s="25" t="n"/>
      <c r="U292" s="25" t="n"/>
      <c r="V292" s="25" t="n"/>
      <c r="W292" s="25" t="n"/>
      <c r="X292" s="26" t="n"/>
      <c r="Y292" s="26" t="n"/>
      <c r="Z292" s="25" t="n"/>
    </row>
    <row r="293">
      <c r="A293" s="25" t="n"/>
      <c r="B293" s="26" t="n"/>
      <c r="C293" s="25" t="n"/>
      <c r="D293" s="25" t="n"/>
      <c r="E293" s="25" t="n"/>
      <c r="F293" s="25" t="n"/>
      <c r="G293" s="25" t="n"/>
      <c r="H293" s="25" t="n"/>
      <c r="I293" s="25" t="n"/>
      <c r="J293" s="27">
        <f>IF(G293="","",IFERROR(INDEX(Parámetros!$B$8:$B$20,MATCH(G293,Parámetros!$A$8:$A$20,0)),""))</f>
        <v/>
      </c>
      <c r="K293" s="16" t="n"/>
      <c r="L293" s="16" t="n"/>
      <c r="M293" s="28">
        <f>IF(A293="","",I293*J293-K293+L293)</f>
        <v/>
      </c>
      <c r="N293" s="27">
        <f>IF(A293="","",IFERROR(I293*INDEX(Parámetros!$C$8:$C$20,MATCH(G293,Parámetros!$A$8:$A$20,0)),0))</f>
        <v/>
      </c>
      <c r="O293" s="27">
        <f>IF(A293="","",IFERROR(I293*INDEX(Parámetros!$D$8:$D$20,MATCH(G293,Parámetros!$A$8:$A$20,0)),0))</f>
        <v/>
      </c>
      <c r="P293" s="28">
        <f>IF(A293="","",M293*Parámetros!$B$3+Parámetros!$B$4)</f>
        <v/>
      </c>
      <c r="Q293" s="16" t="n"/>
      <c r="R293" s="28">
        <f>IF(A293="","",M293/1.21-N293-O293-P293-Q293)</f>
        <v/>
      </c>
      <c r="S293" s="29">
        <f>IF(OR(A293="",M293=0),"",R293/(M293/1.21))</f>
        <v/>
      </c>
      <c r="T293" s="25" t="n"/>
      <c r="U293" s="25" t="n"/>
      <c r="V293" s="25" t="n"/>
      <c r="W293" s="25" t="n"/>
      <c r="X293" s="26" t="n"/>
      <c r="Y293" s="26" t="n"/>
      <c r="Z293" s="25" t="n"/>
    </row>
    <row r="294">
      <c r="A294" s="25" t="n"/>
      <c r="B294" s="26" t="n"/>
      <c r="C294" s="25" t="n"/>
      <c r="D294" s="25" t="n"/>
      <c r="E294" s="25" t="n"/>
      <c r="F294" s="25" t="n"/>
      <c r="G294" s="25" t="n"/>
      <c r="H294" s="25" t="n"/>
      <c r="I294" s="25" t="n"/>
      <c r="J294" s="27">
        <f>IF(G294="","",IFERROR(INDEX(Parámetros!$B$8:$B$20,MATCH(G294,Parámetros!$A$8:$A$20,0)),""))</f>
        <v/>
      </c>
      <c r="K294" s="16" t="n"/>
      <c r="L294" s="16" t="n"/>
      <c r="M294" s="28">
        <f>IF(A294="","",I294*J294-K294+L294)</f>
        <v/>
      </c>
      <c r="N294" s="27">
        <f>IF(A294="","",IFERROR(I294*INDEX(Parámetros!$C$8:$C$20,MATCH(G294,Parámetros!$A$8:$A$20,0)),0))</f>
        <v/>
      </c>
      <c r="O294" s="27">
        <f>IF(A294="","",IFERROR(I294*INDEX(Parámetros!$D$8:$D$20,MATCH(G294,Parámetros!$A$8:$A$20,0)),0))</f>
        <v/>
      </c>
      <c r="P294" s="28">
        <f>IF(A294="","",M294*Parámetros!$B$3+Parámetros!$B$4)</f>
        <v/>
      </c>
      <c r="Q294" s="16" t="n"/>
      <c r="R294" s="28">
        <f>IF(A294="","",M294/1.21-N294-O294-P294-Q294)</f>
        <v/>
      </c>
      <c r="S294" s="29">
        <f>IF(OR(A294="",M294=0),"",R294/(M294/1.21))</f>
        <v/>
      </c>
      <c r="T294" s="25" t="n"/>
      <c r="U294" s="25" t="n"/>
      <c r="V294" s="25" t="n"/>
      <c r="W294" s="25" t="n"/>
      <c r="X294" s="26" t="n"/>
      <c r="Y294" s="26" t="n"/>
      <c r="Z294" s="25" t="n"/>
    </row>
    <row r="295">
      <c r="A295" s="25" t="n"/>
      <c r="B295" s="26" t="n"/>
      <c r="C295" s="25" t="n"/>
      <c r="D295" s="25" t="n"/>
      <c r="E295" s="25" t="n"/>
      <c r="F295" s="25" t="n"/>
      <c r="G295" s="25" t="n"/>
      <c r="H295" s="25" t="n"/>
      <c r="I295" s="25" t="n"/>
      <c r="J295" s="27">
        <f>IF(G295="","",IFERROR(INDEX(Parámetros!$B$8:$B$20,MATCH(G295,Parámetros!$A$8:$A$20,0)),""))</f>
        <v/>
      </c>
      <c r="K295" s="16" t="n"/>
      <c r="L295" s="16" t="n"/>
      <c r="M295" s="28">
        <f>IF(A295="","",I295*J295-K295+L295)</f>
        <v/>
      </c>
      <c r="N295" s="27">
        <f>IF(A295="","",IFERROR(I295*INDEX(Parámetros!$C$8:$C$20,MATCH(G295,Parámetros!$A$8:$A$20,0)),0))</f>
        <v/>
      </c>
      <c r="O295" s="27">
        <f>IF(A295="","",IFERROR(I295*INDEX(Parámetros!$D$8:$D$20,MATCH(G295,Parámetros!$A$8:$A$20,0)),0))</f>
        <v/>
      </c>
      <c r="P295" s="28">
        <f>IF(A295="","",M295*Parámetros!$B$3+Parámetros!$B$4)</f>
        <v/>
      </c>
      <c r="Q295" s="16" t="n"/>
      <c r="R295" s="28">
        <f>IF(A295="","",M295/1.21-N295-O295-P295-Q295)</f>
        <v/>
      </c>
      <c r="S295" s="29">
        <f>IF(OR(A295="",M295=0),"",R295/(M295/1.21))</f>
        <v/>
      </c>
      <c r="T295" s="25" t="n"/>
      <c r="U295" s="25" t="n"/>
      <c r="V295" s="25" t="n"/>
      <c r="W295" s="25" t="n"/>
      <c r="X295" s="26" t="n"/>
      <c r="Y295" s="26" t="n"/>
      <c r="Z295" s="25" t="n"/>
    </row>
    <row r="296">
      <c r="A296" s="25" t="n"/>
      <c r="B296" s="26" t="n"/>
      <c r="C296" s="25" t="n"/>
      <c r="D296" s="25" t="n"/>
      <c r="E296" s="25" t="n"/>
      <c r="F296" s="25" t="n"/>
      <c r="G296" s="25" t="n"/>
      <c r="H296" s="25" t="n"/>
      <c r="I296" s="25" t="n"/>
      <c r="J296" s="27">
        <f>IF(G296="","",IFERROR(INDEX(Parámetros!$B$8:$B$20,MATCH(G296,Parámetros!$A$8:$A$20,0)),""))</f>
        <v/>
      </c>
      <c r="K296" s="16" t="n"/>
      <c r="L296" s="16" t="n"/>
      <c r="M296" s="28">
        <f>IF(A296="","",I296*J296-K296+L296)</f>
        <v/>
      </c>
      <c r="N296" s="27">
        <f>IF(A296="","",IFERROR(I296*INDEX(Parámetros!$C$8:$C$20,MATCH(G296,Parámetros!$A$8:$A$20,0)),0))</f>
        <v/>
      </c>
      <c r="O296" s="27">
        <f>IF(A296="","",IFERROR(I296*INDEX(Parámetros!$D$8:$D$20,MATCH(G296,Parámetros!$A$8:$A$20,0)),0))</f>
        <v/>
      </c>
      <c r="P296" s="28">
        <f>IF(A296="","",M296*Parámetros!$B$3+Parámetros!$B$4)</f>
        <v/>
      </c>
      <c r="Q296" s="16" t="n"/>
      <c r="R296" s="28">
        <f>IF(A296="","",M296/1.21-N296-O296-P296-Q296)</f>
        <v/>
      </c>
      <c r="S296" s="29">
        <f>IF(OR(A296="",M296=0),"",R296/(M296/1.21))</f>
        <v/>
      </c>
      <c r="T296" s="25" t="n"/>
      <c r="U296" s="25" t="n"/>
      <c r="V296" s="25" t="n"/>
      <c r="W296" s="25" t="n"/>
      <c r="X296" s="26" t="n"/>
      <c r="Y296" s="26" t="n"/>
      <c r="Z296" s="25" t="n"/>
    </row>
    <row r="297">
      <c r="A297" s="25" t="n"/>
      <c r="B297" s="26" t="n"/>
      <c r="C297" s="25" t="n"/>
      <c r="D297" s="25" t="n"/>
      <c r="E297" s="25" t="n"/>
      <c r="F297" s="25" t="n"/>
      <c r="G297" s="25" t="n"/>
      <c r="H297" s="25" t="n"/>
      <c r="I297" s="25" t="n"/>
      <c r="J297" s="27">
        <f>IF(G297="","",IFERROR(INDEX(Parámetros!$B$8:$B$20,MATCH(G297,Parámetros!$A$8:$A$20,0)),""))</f>
        <v/>
      </c>
      <c r="K297" s="16" t="n"/>
      <c r="L297" s="16" t="n"/>
      <c r="M297" s="28">
        <f>IF(A297="","",I297*J297-K297+L297)</f>
        <v/>
      </c>
      <c r="N297" s="27">
        <f>IF(A297="","",IFERROR(I297*INDEX(Parámetros!$C$8:$C$20,MATCH(G297,Parámetros!$A$8:$A$20,0)),0))</f>
        <v/>
      </c>
      <c r="O297" s="27">
        <f>IF(A297="","",IFERROR(I297*INDEX(Parámetros!$D$8:$D$20,MATCH(G297,Parámetros!$A$8:$A$20,0)),0))</f>
        <v/>
      </c>
      <c r="P297" s="28">
        <f>IF(A297="","",M297*Parámetros!$B$3+Parámetros!$B$4)</f>
        <v/>
      </c>
      <c r="Q297" s="16" t="n"/>
      <c r="R297" s="28">
        <f>IF(A297="","",M297/1.21-N297-O297-P297-Q297)</f>
        <v/>
      </c>
      <c r="S297" s="29">
        <f>IF(OR(A297="",M297=0),"",R297/(M297/1.21))</f>
        <v/>
      </c>
      <c r="T297" s="25" t="n"/>
      <c r="U297" s="25" t="n"/>
      <c r="V297" s="25" t="n"/>
      <c r="W297" s="25" t="n"/>
      <c r="X297" s="26" t="n"/>
      <c r="Y297" s="26" t="n"/>
      <c r="Z297" s="25" t="n"/>
    </row>
    <row r="298">
      <c r="A298" s="25" t="n"/>
      <c r="B298" s="26" t="n"/>
      <c r="C298" s="25" t="n"/>
      <c r="D298" s="25" t="n"/>
      <c r="E298" s="25" t="n"/>
      <c r="F298" s="25" t="n"/>
      <c r="G298" s="25" t="n"/>
      <c r="H298" s="25" t="n"/>
      <c r="I298" s="25" t="n"/>
      <c r="J298" s="27">
        <f>IF(G298="","",IFERROR(INDEX(Parámetros!$B$8:$B$20,MATCH(G298,Parámetros!$A$8:$A$20,0)),""))</f>
        <v/>
      </c>
      <c r="K298" s="16" t="n"/>
      <c r="L298" s="16" t="n"/>
      <c r="M298" s="28">
        <f>IF(A298="","",I298*J298-K298+L298)</f>
        <v/>
      </c>
      <c r="N298" s="27">
        <f>IF(A298="","",IFERROR(I298*INDEX(Parámetros!$C$8:$C$20,MATCH(G298,Parámetros!$A$8:$A$20,0)),0))</f>
        <v/>
      </c>
      <c r="O298" s="27">
        <f>IF(A298="","",IFERROR(I298*INDEX(Parámetros!$D$8:$D$20,MATCH(G298,Parámetros!$A$8:$A$20,0)),0))</f>
        <v/>
      </c>
      <c r="P298" s="28">
        <f>IF(A298="","",M298*Parámetros!$B$3+Parámetros!$B$4)</f>
        <v/>
      </c>
      <c r="Q298" s="16" t="n"/>
      <c r="R298" s="28">
        <f>IF(A298="","",M298/1.21-N298-O298-P298-Q298)</f>
        <v/>
      </c>
      <c r="S298" s="29">
        <f>IF(OR(A298="",M298=0),"",R298/(M298/1.21))</f>
        <v/>
      </c>
      <c r="T298" s="25" t="n"/>
      <c r="U298" s="25" t="n"/>
      <c r="V298" s="25" t="n"/>
      <c r="W298" s="25" t="n"/>
      <c r="X298" s="26" t="n"/>
      <c r="Y298" s="26" t="n"/>
      <c r="Z298" s="25" t="n"/>
    </row>
    <row r="299">
      <c r="A299" s="25" t="n"/>
      <c r="B299" s="26" t="n"/>
      <c r="C299" s="25" t="n"/>
      <c r="D299" s="25" t="n"/>
      <c r="E299" s="25" t="n"/>
      <c r="F299" s="25" t="n"/>
      <c r="G299" s="25" t="n"/>
      <c r="H299" s="25" t="n"/>
      <c r="I299" s="25" t="n"/>
      <c r="J299" s="27">
        <f>IF(G299="","",IFERROR(INDEX(Parámetros!$B$8:$B$20,MATCH(G299,Parámetros!$A$8:$A$20,0)),""))</f>
        <v/>
      </c>
      <c r="K299" s="16" t="n"/>
      <c r="L299" s="16" t="n"/>
      <c r="M299" s="28">
        <f>IF(A299="","",I299*J299-K299+L299)</f>
        <v/>
      </c>
      <c r="N299" s="27">
        <f>IF(A299="","",IFERROR(I299*INDEX(Parámetros!$C$8:$C$20,MATCH(G299,Parámetros!$A$8:$A$20,0)),0))</f>
        <v/>
      </c>
      <c r="O299" s="27">
        <f>IF(A299="","",IFERROR(I299*INDEX(Parámetros!$D$8:$D$20,MATCH(G299,Parámetros!$A$8:$A$20,0)),0))</f>
        <v/>
      </c>
      <c r="P299" s="28">
        <f>IF(A299="","",M299*Parámetros!$B$3+Parámetros!$B$4)</f>
        <v/>
      </c>
      <c r="Q299" s="16" t="n"/>
      <c r="R299" s="28">
        <f>IF(A299="","",M299/1.21-N299-O299-P299-Q299)</f>
        <v/>
      </c>
      <c r="S299" s="29">
        <f>IF(OR(A299="",M299=0),"",R299/(M299/1.21))</f>
        <v/>
      </c>
      <c r="T299" s="25" t="n"/>
      <c r="U299" s="25" t="n"/>
      <c r="V299" s="25" t="n"/>
      <c r="W299" s="25" t="n"/>
      <c r="X299" s="26" t="n"/>
      <c r="Y299" s="26" t="n"/>
      <c r="Z299" s="25" t="n"/>
    </row>
    <row r="300">
      <c r="A300" s="25" t="n"/>
      <c r="B300" s="26" t="n"/>
      <c r="C300" s="25" t="n"/>
      <c r="D300" s="25" t="n"/>
      <c r="E300" s="25" t="n"/>
      <c r="F300" s="25" t="n"/>
      <c r="G300" s="25" t="n"/>
      <c r="H300" s="25" t="n"/>
      <c r="I300" s="25" t="n"/>
      <c r="J300" s="27">
        <f>IF(G300="","",IFERROR(INDEX(Parámetros!$B$8:$B$20,MATCH(G300,Parámetros!$A$8:$A$20,0)),""))</f>
        <v/>
      </c>
      <c r="K300" s="16" t="n"/>
      <c r="L300" s="16" t="n"/>
      <c r="M300" s="28">
        <f>IF(A300="","",I300*J300-K300+L300)</f>
        <v/>
      </c>
      <c r="N300" s="27">
        <f>IF(A300="","",IFERROR(I300*INDEX(Parámetros!$C$8:$C$20,MATCH(G300,Parámetros!$A$8:$A$20,0)),0))</f>
        <v/>
      </c>
      <c r="O300" s="27">
        <f>IF(A300="","",IFERROR(I300*INDEX(Parámetros!$D$8:$D$20,MATCH(G300,Parámetros!$A$8:$A$20,0)),0))</f>
        <v/>
      </c>
      <c r="P300" s="28">
        <f>IF(A300="","",M300*Parámetros!$B$3+Parámetros!$B$4)</f>
        <v/>
      </c>
      <c r="Q300" s="16" t="n"/>
      <c r="R300" s="28">
        <f>IF(A300="","",M300/1.21-N300-O300-P300-Q300)</f>
        <v/>
      </c>
      <c r="S300" s="29">
        <f>IF(OR(A300="",M300=0),"",R300/(M300/1.21))</f>
        <v/>
      </c>
      <c r="T300" s="25" t="n"/>
      <c r="U300" s="25" t="n"/>
      <c r="V300" s="25" t="n"/>
      <c r="W300" s="25" t="n"/>
      <c r="X300" s="26" t="n"/>
      <c r="Y300" s="26" t="n"/>
      <c r="Z300" s="25" t="n"/>
    </row>
    <row r="301">
      <c r="A301" s="25" t="n"/>
      <c r="B301" s="26" t="n"/>
      <c r="C301" s="25" t="n"/>
      <c r="D301" s="25" t="n"/>
      <c r="E301" s="25" t="n"/>
      <c r="F301" s="25" t="n"/>
      <c r="G301" s="25" t="n"/>
      <c r="H301" s="25" t="n"/>
      <c r="I301" s="25" t="n"/>
      <c r="J301" s="27">
        <f>IF(G301="","",IFERROR(INDEX(Parámetros!$B$8:$B$20,MATCH(G301,Parámetros!$A$8:$A$20,0)),""))</f>
        <v/>
      </c>
      <c r="K301" s="16" t="n"/>
      <c r="L301" s="16" t="n"/>
      <c r="M301" s="28">
        <f>IF(A301="","",I301*J301-K301+L301)</f>
        <v/>
      </c>
      <c r="N301" s="27">
        <f>IF(A301="","",IFERROR(I301*INDEX(Parámetros!$C$8:$C$20,MATCH(G301,Parámetros!$A$8:$A$20,0)),0))</f>
        <v/>
      </c>
      <c r="O301" s="27">
        <f>IF(A301="","",IFERROR(I301*INDEX(Parámetros!$D$8:$D$20,MATCH(G301,Parámetros!$A$8:$A$20,0)),0))</f>
        <v/>
      </c>
      <c r="P301" s="28">
        <f>IF(A301="","",M301*Parámetros!$B$3+Parámetros!$B$4)</f>
        <v/>
      </c>
      <c r="Q301" s="16" t="n"/>
      <c r="R301" s="28">
        <f>IF(A301="","",M301/1.21-N301-O301-P301-Q301)</f>
        <v/>
      </c>
      <c r="S301" s="29">
        <f>IF(OR(A301="",M301=0),"",R301/(M301/1.21))</f>
        <v/>
      </c>
      <c r="T301" s="25" t="n"/>
      <c r="U301" s="25" t="n"/>
      <c r="V301" s="25" t="n"/>
      <c r="W301" s="25" t="n"/>
      <c r="X301" s="26" t="n"/>
      <c r="Y301" s="26" t="n"/>
      <c r="Z301" s="25" t="n"/>
    </row>
  </sheetData>
  <dataValidations count="3">
    <dataValidation sqref="G2:G301" showDropDown="0" showInputMessage="0" showErrorMessage="0" allowBlank="1" type="list">
      <formula1>"Lámpara bola de cristal 3D,Reloj LED 3D de pared y mesa,Proyector de ondas de agua,Globo terráqueo que levita"</formula1>
    </dataValidation>
    <dataValidation sqref="T2:T301" showDropDown="0" showInputMessage="0" showErrorMessage="0" allowBlank="1" type="list">
      <formula1>"Meta Ads,TikTok Ads,Instagram orgánico,TikTok orgánico,Google,Directo,Carrito recuperado,Otro"</formula1>
    </dataValidation>
    <dataValidation sqref="U2:U301" showDropDown="0" showInputMessage="0" showErrorMessage="0" allowBlank="1" type="list">
      <formula1>"Pendiente,Pedido a proveedor,Enviado,Entregado,Incidencia,Devuelto,Cancelado"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14" customWidth="1" min="7" max="7"/>
    <col width="13" customWidth="1" min="8" max="8"/>
    <col width="13" customWidth="1" min="9" max="9"/>
    <col width="34" customWidth="1" min="10" max="10"/>
  </cols>
  <sheetData>
    <row r="1" ht="34" customHeight="1">
      <c r="A1" s="18" t="inlineStr">
        <is>
          <t>Email</t>
        </is>
      </c>
      <c r="B1" s="18" t="inlineStr">
        <is>
          <t>Nombre</t>
        </is>
      </c>
      <c r="C1" s="18" t="inlineStr">
        <is>
          <t>Teléfono</t>
        </is>
      </c>
      <c r="D1" s="18" t="inlineStr">
        <is>
          <t>Provincia</t>
        </is>
      </c>
      <c r="E1" s="18" t="inlineStr">
        <is>
          <t>Acepta marketing</t>
        </is>
      </c>
      <c r="F1" s="18" t="inlineStr">
        <is>
          <t>Nº pedidos</t>
        </is>
      </c>
      <c r="G1" s="18" t="inlineStr">
        <is>
          <t>Total gastado (€)</t>
        </is>
      </c>
      <c r="H1" s="18" t="inlineStr">
        <is>
          <t>Primer pedido</t>
        </is>
      </c>
      <c r="I1" s="18" t="inlineStr">
        <is>
          <t>Último pedido</t>
        </is>
      </c>
      <c r="J1" s="18" t="inlineStr">
        <is>
          <t>Notas</t>
        </is>
      </c>
    </row>
    <row r="2">
      <c r="A2" s="25" t="n"/>
      <c r="B2" s="25" t="n"/>
      <c r="C2" s="25" t="n"/>
      <c r="D2" s="25" t="n"/>
      <c r="E2" s="25" t="n"/>
      <c r="F2" s="30">
        <f>IF(A2="","",COUNTIF(Pedidos!$D$2:$D$301,A2))</f>
        <v/>
      </c>
      <c r="G2" s="27">
        <f>IF(A2="","",SUMIF(Pedidos!$D$2:$D$301,A2,Pedidos!$M$2:$M$301))</f>
        <v/>
      </c>
      <c r="H2" s="31">
        <f>IF(OR(A2="",F2=0),"",_xlfn.MINIFS(Pedidos!$B$2:$B$301,Pedidos!$D$2:$D$301,A2))</f>
        <v/>
      </c>
      <c r="I2" s="31">
        <f>IF(OR(A2="",F2=0),"",_xlfn.MAXIFS(Pedidos!$B$2:$B$301,Pedidos!$D$2:$D$301,A2))</f>
        <v/>
      </c>
      <c r="J2" s="25" t="n"/>
    </row>
    <row r="3">
      <c r="A3" s="25" t="n"/>
      <c r="B3" s="25" t="n"/>
      <c r="C3" s="25" t="n"/>
      <c r="D3" s="25" t="n"/>
      <c r="E3" s="25" t="n"/>
      <c r="F3" s="30">
        <f>IF(A3="","",COUNTIF(Pedidos!$D$2:$D$301,A3))</f>
        <v/>
      </c>
      <c r="G3" s="27">
        <f>IF(A3="","",SUMIF(Pedidos!$D$2:$D$301,A3,Pedidos!$M$2:$M$301))</f>
        <v/>
      </c>
      <c r="H3" s="31">
        <f>IF(OR(A3="",F3=0),"",_xlfn.MINIFS(Pedidos!$B$2:$B$301,Pedidos!$D$2:$D$301,A3))</f>
        <v/>
      </c>
      <c r="I3" s="31">
        <f>IF(OR(A3="",F3=0),"",_xlfn.MAXIFS(Pedidos!$B$2:$B$301,Pedidos!$D$2:$D$301,A3))</f>
        <v/>
      </c>
      <c r="J3" s="25" t="n"/>
    </row>
    <row r="4">
      <c r="A4" s="25" t="n"/>
      <c r="B4" s="25" t="n"/>
      <c r="C4" s="25" t="n"/>
      <c r="D4" s="25" t="n"/>
      <c r="E4" s="25" t="n"/>
      <c r="F4" s="30">
        <f>IF(A4="","",COUNTIF(Pedidos!$D$2:$D$301,A4))</f>
        <v/>
      </c>
      <c r="G4" s="27">
        <f>IF(A4="","",SUMIF(Pedidos!$D$2:$D$301,A4,Pedidos!$M$2:$M$301))</f>
        <v/>
      </c>
      <c r="H4" s="31">
        <f>IF(OR(A4="",F4=0),"",_xlfn.MINIFS(Pedidos!$B$2:$B$301,Pedidos!$D$2:$D$301,A4))</f>
        <v/>
      </c>
      <c r="I4" s="31">
        <f>IF(OR(A4="",F4=0),"",_xlfn.MAXIFS(Pedidos!$B$2:$B$301,Pedidos!$D$2:$D$301,A4))</f>
        <v/>
      </c>
      <c r="J4" s="25" t="n"/>
    </row>
    <row r="5">
      <c r="A5" s="25" t="n"/>
      <c r="B5" s="25" t="n"/>
      <c r="C5" s="25" t="n"/>
      <c r="D5" s="25" t="n"/>
      <c r="E5" s="25" t="n"/>
      <c r="F5" s="30">
        <f>IF(A5="","",COUNTIF(Pedidos!$D$2:$D$301,A5))</f>
        <v/>
      </c>
      <c r="G5" s="27">
        <f>IF(A5="","",SUMIF(Pedidos!$D$2:$D$301,A5,Pedidos!$M$2:$M$301))</f>
        <v/>
      </c>
      <c r="H5" s="31">
        <f>IF(OR(A5="",F5=0),"",_xlfn.MINIFS(Pedidos!$B$2:$B$301,Pedidos!$D$2:$D$301,A5))</f>
        <v/>
      </c>
      <c r="I5" s="31">
        <f>IF(OR(A5="",F5=0),"",_xlfn.MAXIFS(Pedidos!$B$2:$B$301,Pedidos!$D$2:$D$301,A5))</f>
        <v/>
      </c>
      <c r="J5" s="25" t="n"/>
    </row>
    <row r="6">
      <c r="A6" s="25" t="n"/>
      <c r="B6" s="25" t="n"/>
      <c r="C6" s="25" t="n"/>
      <c r="D6" s="25" t="n"/>
      <c r="E6" s="25" t="n"/>
      <c r="F6" s="30">
        <f>IF(A6="","",COUNTIF(Pedidos!$D$2:$D$301,A6))</f>
        <v/>
      </c>
      <c r="G6" s="27">
        <f>IF(A6="","",SUMIF(Pedidos!$D$2:$D$301,A6,Pedidos!$M$2:$M$301))</f>
        <v/>
      </c>
      <c r="H6" s="31">
        <f>IF(OR(A6="",F6=0),"",_xlfn.MINIFS(Pedidos!$B$2:$B$301,Pedidos!$D$2:$D$301,A6))</f>
        <v/>
      </c>
      <c r="I6" s="31">
        <f>IF(OR(A6="",F6=0),"",_xlfn.MAXIFS(Pedidos!$B$2:$B$301,Pedidos!$D$2:$D$301,A6))</f>
        <v/>
      </c>
      <c r="J6" s="25" t="n"/>
    </row>
    <row r="7">
      <c r="A7" s="25" t="n"/>
      <c r="B7" s="25" t="n"/>
      <c r="C7" s="25" t="n"/>
      <c r="D7" s="25" t="n"/>
      <c r="E7" s="25" t="n"/>
      <c r="F7" s="30">
        <f>IF(A7="","",COUNTIF(Pedidos!$D$2:$D$301,A7))</f>
        <v/>
      </c>
      <c r="G7" s="27">
        <f>IF(A7="","",SUMIF(Pedidos!$D$2:$D$301,A7,Pedidos!$M$2:$M$301))</f>
        <v/>
      </c>
      <c r="H7" s="31">
        <f>IF(OR(A7="",F7=0),"",_xlfn.MINIFS(Pedidos!$B$2:$B$301,Pedidos!$D$2:$D$301,A7))</f>
        <v/>
      </c>
      <c r="I7" s="31">
        <f>IF(OR(A7="",F7=0),"",_xlfn.MAXIFS(Pedidos!$B$2:$B$301,Pedidos!$D$2:$D$301,A7))</f>
        <v/>
      </c>
      <c r="J7" s="25" t="n"/>
    </row>
    <row r="8">
      <c r="A8" s="25" t="n"/>
      <c r="B8" s="25" t="n"/>
      <c r="C8" s="25" t="n"/>
      <c r="D8" s="25" t="n"/>
      <c r="E8" s="25" t="n"/>
      <c r="F8" s="30">
        <f>IF(A8="","",COUNTIF(Pedidos!$D$2:$D$301,A8))</f>
        <v/>
      </c>
      <c r="G8" s="27">
        <f>IF(A8="","",SUMIF(Pedidos!$D$2:$D$301,A8,Pedidos!$M$2:$M$301))</f>
        <v/>
      </c>
      <c r="H8" s="31">
        <f>IF(OR(A8="",F8=0),"",_xlfn.MINIFS(Pedidos!$B$2:$B$301,Pedidos!$D$2:$D$301,A8))</f>
        <v/>
      </c>
      <c r="I8" s="31">
        <f>IF(OR(A8="",F8=0),"",_xlfn.MAXIFS(Pedidos!$B$2:$B$301,Pedidos!$D$2:$D$301,A8))</f>
        <v/>
      </c>
      <c r="J8" s="25" t="n"/>
    </row>
    <row r="9">
      <c r="A9" s="25" t="n"/>
      <c r="B9" s="25" t="n"/>
      <c r="C9" s="25" t="n"/>
      <c r="D9" s="25" t="n"/>
      <c r="E9" s="25" t="n"/>
      <c r="F9" s="30">
        <f>IF(A9="","",COUNTIF(Pedidos!$D$2:$D$301,A9))</f>
        <v/>
      </c>
      <c r="G9" s="27">
        <f>IF(A9="","",SUMIF(Pedidos!$D$2:$D$301,A9,Pedidos!$M$2:$M$301))</f>
        <v/>
      </c>
      <c r="H9" s="31">
        <f>IF(OR(A9="",F9=0),"",_xlfn.MINIFS(Pedidos!$B$2:$B$301,Pedidos!$D$2:$D$301,A9))</f>
        <v/>
      </c>
      <c r="I9" s="31">
        <f>IF(OR(A9="",F9=0),"",_xlfn.MAXIFS(Pedidos!$B$2:$B$301,Pedidos!$D$2:$D$301,A9))</f>
        <v/>
      </c>
      <c r="J9" s="25" t="n"/>
    </row>
    <row r="10">
      <c r="A10" s="25" t="n"/>
      <c r="B10" s="25" t="n"/>
      <c r="C10" s="25" t="n"/>
      <c r="D10" s="25" t="n"/>
      <c r="E10" s="25" t="n"/>
      <c r="F10" s="30">
        <f>IF(A10="","",COUNTIF(Pedidos!$D$2:$D$301,A10))</f>
        <v/>
      </c>
      <c r="G10" s="27">
        <f>IF(A10="","",SUMIF(Pedidos!$D$2:$D$301,A10,Pedidos!$M$2:$M$301))</f>
        <v/>
      </c>
      <c r="H10" s="31">
        <f>IF(OR(A10="",F10=0),"",_xlfn.MINIFS(Pedidos!$B$2:$B$301,Pedidos!$D$2:$D$301,A10))</f>
        <v/>
      </c>
      <c r="I10" s="31">
        <f>IF(OR(A10="",F10=0),"",_xlfn.MAXIFS(Pedidos!$B$2:$B$301,Pedidos!$D$2:$D$301,A10))</f>
        <v/>
      </c>
      <c r="J10" s="25" t="n"/>
    </row>
    <row r="11">
      <c r="A11" s="25" t="n"/>
      <c r="B11" s="25" t="n"/>
      <c r="C11" s="25" t="n"/>
      <c r="D11" s="25" t="n"/>
      <c r="E11" s="25" t="n"/>
      <c r="F11" s="30">
        <f>IF(A11="","",COUNTIF(Pedidos!$D$2:$D$301,A11))</f>
        <v/>
      </c>
      <c r="G11" s="27">
        <f>IF(A11="","",SUMIF(Pedidos!$D$2:$D$301,A11,Pedidos!$M$2:$M$301))</f>
        <v/>
      </c>
      <c r="H11" s="31">
        <f>IF(OR(A11="",F11=0),"",_xlfn.MINIFS(Pedidos!$B$2:$B$301,Pedidos!$D$2:$D$301,A11))</f>
        <v/>
      </c>
      <c r="I11" s="31">
        <f>IF(OR(A11="",F11=0),"",_xlfn.MAXIFS(Pedidos!$B$2:$B$301,Pedidos!$D$2:$D$301,A11))</f>
        <v/>
      </c>
      <c r="J11" s="25" t="n"/>
    </row>
    <row r="12">
      <c r="A12" s="25" t="n"/>
      <c r="B12" s="25" t="n"/>
      <c r="C12" s="25" t="n"/>
      <c r="D12" s="25" t="n"/>
      <c r="E12" s="25" t="n"/>
      <c r="F12" s="30">
        <f>IF(A12="","",COUNTIF(Pedidos!$D$2:$D$301,A12))</f>
        <v/>
      </c>
      <c r="G12" s="27">
        <f>IF(A12="","",SUMIF(Pedidos!$D$2:$D$301,A12,Pedidos!$M$2:$M$301))</f>
        <v/>
      </c>
      <c r="H12" s="31">
        <f>IF(OR(A12="",F12=0),"",_xlfn.MINIFS(Pedidos!$B$2:$B$301,Pedidos!$D$2:$D$301,A12))</f>
        <v/>
      </c>
      <c r="I12" s="31">
        <f>IF(OR(A12="",F12=0),"",_xlfn.MAXIFS(Pedidos!$B$2:$B$301,Pedidos!$D$2:$D$301,A12))</f>
        <v/>
      </c>
      <c r="J12" s="25" t="n"/>
    </row>
    <row r="13">
      <c r="A13" s="25" t="n"/>
      <c r="B13" s="25" t="n"/>
      <c r="C13" s="25" t="n"/>
      <c r="D13" s="25" t="n"/>
      <c r="E13" s="25" t="n"/>
      <c r="F13" s="30">
        <f>IF(A13="","",COUNTIF(Pedidos!$D$2:$D$301,A13))</f>
        <v/>
      </c>
      <c r="G13" s="27">
        <f>IF(A13="","",SUMIF(Pedidos!$D$2:$D$301,A13,Pedidos!$M$2:$M$301))</f>
        <v/>
      </c>
      <c r="H13" s="31">
        <f>IF(OR(A13="",F13=0),"",_xlfn.MINIFS(Pedidos!$B$2:$B$301,Pedidos!$D$2:$D$301,A13))</f>
        <v/>
      </c>
      <c r="I13" s="31">
        <f>IF(OR(A13="",F13=0),"",_xlfn.MAXIFS(Pedidos!$B$2:$B$301,Pedidos!$D$2:$D$301,A13))</f>
        <v/>
      </c>
      <c r="J13" s="25" t="n"/>
    </row>
    <row r="14">
      <c r="A14" s="25" t="n"/>
      <c r="B14" s="25" t="n"/>
      <c r="C14" s="25" t="n"/>
      <c r="D14" s="25" t="n"/>
      <c r="E14" s="25" t="n"/>
      <c r="F14" s="30">
        <f>IF(A14="","",COUNTIF(Pedidos!$D$2:$D$301,A14))</f>
        <v/>
      </c>
      <c r="G14" s="27">
        <f>IF(A14="","",SUMIF(Pedidos!$D$2:$D$301,A14,Pedidos!$M$2:$M$301))</f>
        <v/>
      </c>
      <c r="H14" s="31">
        <f>IF(OR(A14="",F14=0),"",_xlfn.MINIFS(Pedidos!$B$2:$B$301,Pedidos!$D$2:$D$301,A14))</f>
        <v/>
      </c>
      <c r="I14" s="31">
        <f>IF(OR(A14="",F14=0),"",_xlfn.MAXIFS(Pedidos!$B$2:$B$301,Pedidos!$D$2:$D$301,A14))</f>
        <v/>
      </c>
      <c r="J14" s="25" t="n"/>
    </row>
    <row r="15">
      <c r="A15" s="25" t="n"/>
      <c r="B15" s="25" t="n"/>
      <c r="C15" s="25" t="n"/>
      <c r="D15" s="25" t="n"/>
      <c r="E15" s="25" t="n"/>
      <c r="F15" s="30">
        <f>IF(A15="","",COUNTIF(Pedidos!$D$2:$D$301,A15))</f>
        <v/>
      </c>
      <c r="G15" s="27">
        <f>IF(A15="","",SUMIF(Pedidos!$D$2:$D$301,A15,Pedidos!$M$2:$M$301))</f>
        <v/>
      </c>
      <c r="H15" s="31">
        <f>IF(OR(A15="",F15=0),"",_xlfn.MINIFS(Pedidos!$B$2:$B$301,Pedidos!$D$2:$D$301,A15))</f>
        <v/>
      </c>
      <c r="I15" s="31">
        <f>IF(OR(A15="",F15=0),"",_xlfn.MAXIFS(Pedidos!$B$2:$B$301,Pedidos!$D$2:$D$301,A15))</f>
        <v/>
      </c>
      <c r="J15" s="25" t="n"/>
    </row>
    <row r="16">
      <c r="A16" s="25" t="n"/>
      <c r="B16" s="25" t="n"/>
      <c r="C16" s="25" t="n"/>
      <c r="D16" s="25" t="n"/>
      <c r="E16" s="25" t="n"/>
      <c r="F16" s="30">
        <f>IF(A16="","",COUNTIF(Pedidos!$D$2:$D$301,A16))</f>
        <v/>
      </c>
      <c r="G16" s="27">
        <f>IF(A16="","",SUMIF(Pedidos!$D$2:$D$301,A16,Pedidos!$M$2:$M$301))</f>
        <v/>
      </c>
      <c r="H16" s="31">
        <f>IF(OR(A16="",F16=0),"",_xlfn.MINIFS(Pedidos!$B$2:$B$301,Pedidos!$D$2:$D$301,A16))</f>
        <v/>
      </c>
      <c r="I16" s="31">
        <f>IF(OR(A16="",F16=0),"",_xlfn.MAXIFS(Pedidos!$B$2:$B$301,Pedidos!$D$2:$D$301,A16))</f>
        <v/>
      </c>
      <c r="J16" s="25" t="n"/>
    </row>
    <row r="17">
      <c r="A17" s="25" t="n"/>
      <c r="B17" s="25" t="n"/>
      <c r="C17" s="25" t="n"/>
      <c r="D17" s="25" t="n"/>
      <c r="E17" s="25" t="n"/>
      <c r="F17" s="30">
        <f>IF(A17="","",COUNTIF(Pedidos!$D$2:$D$301,A17))</f>
        <v/>
      </c>
      <c r="G17" s="27">
        <f>IF(A17="","",SUMIF(Pedidos!$D$2:$D$301,A17,Pedidos!$M$2:$M$301))</f>
        <v/>
      </c>
      <c r="H17" s="31">
        <f>IF(OR(A17="",F17=0),"",_xlfn.MINIFS(Pedidos!$B$2:$B$301,Pedidos!$D$2:$D$301,A17))</f>
        <v/>
      </c>
      <c r="I17" s="31">
        <f>IF(OR(A17="",F17=0),"",_xlfn.MAXIFS(Pedidos!$B$2:$B$301,Pedidos!$D$2:$D$301,A17))</f>
        <v/>
      </c>
      <c r="J17" s="25" t="n"/>
    </row>
    <row r="18">
      <c r="A18" s="25" t="n"/>
      <c r="B18" s="25" t="n"/>
      <c r="C18" s="25" t="n"/>
      <c r="D18" s="25" t="n"/>
      <c r="E18" s="25" t="n"/>
      <c r="F18" s="30">
        <f>IF(A18="","",COUNTIF(Pedidos!$D$2:$D$301,A18))</f>
        <v/>
      </c>
      <c r="G18" s="27">
        <f>IF(A18="","",SUMIF(Pedidos!$D$2:$D$301,A18,Pedidos!$M$2:$M$301))</f>
        <v/>
      </c>
      <c r="H18" s="31">
        <f>IF(OR(A18="",F18=0),"",_xlfn.MINIFS(Pedidos!$B$2:$B$301,Pedidos!$D$2:$D$301,A18))</f>
        <v/>
      </c>
      <c r="I18" s="31">
        <f>IF(OR(A18="",F18=0),"",_xlfn.MAXIFS(Pedidos!$B$2:$B$301,Pedidos!$D$2:$D$301,A18))</f>
        <v/>
      </c>
      <c r="J18" s="25" t="n"/>
    </row>
    <row r="19">
      <c r="A19" s="25" t="n"/>
      <c r="B19" s="25" t="n"/>
      <c r="C19" s="25" t="n"/>
      <c r="D19" s="25" t="n"/>
      <c r="E19" s="25" t="n"/>
      <c r="F19" s="30">
        <f>IF(A19="","",COUNTIF(Pedidos!$D$2:$D$301,A19))</f>
        <v/>
      </c>
      <c r="G19" s="27">
        <f>IF(A19="","",SUMIF(Pedidos!$D$2:$D$301,A19,Pedidos!$M$2:$M$301))</f>
        <v/>
      </c>
      <c r="H19" s="31">
        <f>IF(OR(A19="",F19=0),"",_xlfn.MINIFS(Pedidos!$B$2:$B$301,Pedidos!$D$2:$D$301,A19))</f>
        <v/>
      </c>
      <c r="I19" s="31">
        <f>IF(OR(A19="",F19=0),"",_xlfn.MAXIFS(Pedidos!$B$2:$B$301,Pedidos!$D$2:$D$301,A19))</f>
        <v/>
      </c>
      <c r="J19" s="25" t="n"/>
    </row>
    <row r="20">
      <c r="A20" s="25" t="n"/>
      <c r="B20" s="25" t="n"/>
      <c r="C20" s="25" t="n"/>
      <c r="D20" s="25" t="n"/>
      <c r="E20" s="25" t="n"/>
      <c r="F20" s="30">
        <f>IF(A20="","",COUNTIF(Pedidos!$D$2:$D$301,A20))</f>
        <v/>
      </c>
      <c r="G20" s="27">
        <f>IF(A20="","",SUMIF(Pedidos!$D$2:$D$301,A20,Pedidos!$M$2:$M$301))</f>
        <v/>
      </c>
      <c r="H20" s="31">
        <f>IF(OR(A20="",F20=0),"",_xlfn.MINIFS(Pedidos!$B$2:$B$301,Pedidos!$D$2:$D$301,A20))</f>
        <v/>
      </c>
      <c r="I20" s="31">
        <f>IF(OR(A20="",F20=0),"",_xlfn.MAXIFS(Pedidos!$B$2:$B$301,Pedidos!$D$2:$D$301,A20))</f>
        <v/>
      </c>
      <c r="J20" s="25" t="n"/>
    </row>
    <row r="21">
      <c r="A21" s="25" t="n"/>
      <c r="B21" s="25" t="n"/>
      <c r="C21" s="25" t="n"/>
      <c r="D21" s="25" t="n"/>
      <c r="E21" s="25" t="n"/>
      <c r="F21" s="30">
        <f>IF(A21="","",COUNTIF(Pedidos!$D$2:$D$301,A21))</f>
        <v/>
      </c>
      <c r="G21" s="27">
        <f>IF(A21="","",SUMIF(Pedidos!$D$2:$D$301,A21,Pedidos!$M$2:$M$301))</f>
        <v/>
      </c>
      <c r="H21" s="31">
        <f>IF(OR(A21="",F21=0),"",_xlfn.MINIFS(Pedidos!$B$2:$B$301,Pedidos!$D$2:$D$301,A21))</f>
        <v/>
      </c>
      <c r="I21" s="31">
        <f>IF(OR(A21="",F21=0),"",_xlfn.MAXIFS(Pedidos!$B$2:$B$301,Pedidos!$D$2:$D$301,A21))</f>
        <v/>
      </c>
      <c r="J21" s="25" t="n"/>
    </row>
    <row r="22">
      <c r="A22" s="25" t="n"/>
      <c r="B22" s="25" t="n"/>
      <c r="C22" s="25" t="n"/>
      <c r="D22" s="25" t="n"/>
      <c r="E22" s="25" t="n"/>
      <c r="F22" s="30">
        <f>IF(A22="","",COUNTIF(Pedidos!$D$2:$D$301,A22))</f>
        <v/>
      </c>
      <c r="G22" s="27">
        <f>IF(A22="","",SUMIF(Pedidos!$D$2:$D$301,A22,Pedidos!$M$2:$M$301))</f>
        <v/>
      </c>
      <c r="H22" s="31">
        <f>IF(OR(A22="",F22=0),"",_xlfn.MINIFS(Pedidos!$B$2:$B$301,Pedidos!$D$2:$D$301,A22))</f>
        <v/>
      </c>
      <c r="I22" s="31">
        <f>IF(OR(A22="",F22=0),"",_xlfn.MAXIFS(Pedidos!$B$2:$B$301,Pedidos!$D$2:$D$301,A22))</f>
        <v/>
      </c>
      <c r="J22" s="25" t="n"/>
    </row>
    <row r="23">
      <c r="A23" s="25" t="n"/>
      <c r="B23" s="25" t="n"/>
      <c r="C23" s="25" t="n"/>
      <c r="D23" s="25" t="n"/>
      <c r="E23" s="25" t="n"/>
      <c r="F23" s="30">
        <f>IF(A23="","",COUNTIF(Pedidos!$D$2:$D$301,A23))</f>
        <v/>
      </c>
      <c r="G23" s="27">
        <f>IF(A23="","",SUMIF(Pedidos!$D$2:$D$301,A23,Pedidos!$M$2:$M$301))</f>
        <v/>
      </c>
      <c r="H23" s="31">
        <f>IF(OR(A23="",F23=0),"",_xlfn.MINIFS(Pedidos!$B$2:$B$301,Pedidos!$D$2:$D$301,A23))</f>
        <v/>
      </c>
      <c r="I23" s="31">
        <f>IF(OR(A23="",F23=0),"",_xlfn.MAXIFS(Pedidos!$B$2:$B$301,Pedidos!$D$2:$D$301,A23))</f>
        <v/>
      </c>
      <c r="J23" s="25" t="n"/>
    </row>
    <row r="24">
      <c r="A24" s="25" t="n"/>
      <c r="B24" s="25" t="n"/>
      <c r="C24" s="25" t="n"/>
      <c r="D24" s="25" t="n"/>
      <c r="E24" s="25" t="n"/>
      <c r="F24" s="30">
        <f>IF(A24="","",COUNTIF(Pedidos!$D$2:$D$301,A24))</f>
        <v/>
      </c>
      <c r="G24" s="27">
        <f>IF(A24="","",SUMIF(Pedidos!$D$2:$D$301,A24,Pedidos!$M$2:$M$301))</f>
        <v/>
      </c>
      <c r="H24" s="31">
        <f>IF(OR(A24="",F24=0),"",_xlfn.MINIFS(Pedidos!$B$2:$B$301,Pedidos!$D$2:$D$301,A24))</f>
        <v/>
      </c>
      <c r="I24" s="31">
        <f>IF(OR(A24="",F24=0),"",_xlfn.MAXIFS(Pedidos!$B$2:$B$301,Pedidos!$D$2:$D$301,A24))</f>
        <v/>
      </c>
      <c r="J24" s="25" t="n"/>
    </row>
    <row r="25">
      <c r="A25" s="25" t="n"/>
      <c r="B25" s="25" t="n"/>
      <c r="C25" s="25" t="n"/>
      <c r="D25" s="25" t="n"/>
      <c r="E25" s="25" t="n"/>
      <c r="F25" s="30">
        <f>IF(A25="","",COUNTIF(Pedidos!$D$2:$D$301,A25))</f>
        <v/>
      </c>
      <c r="G25" s="27">
        <f>IF(A25="","",SUMIF(Pedidos!$D$2:$D$301,A25,Pedidos!$M$2:$M$301))</f>
        <v/>
      </c>
      <c r="H25" s="31">
        <f>IF(OR(A25="",F25=0),"",_xlfn.MINIFS(Pedidos!$B$2:$B$301,Pedidos!$D$2:$D$301,A25))</f>
        <v/>
      </c>
      <c r="I25" s="31">
        <f>IF(OR(A25="",F25=0),"",_xlfn.MAXIFS(Pedidos!$B$2:$B$301,Pedidos!$D$2:$D$301,A25))</f>
        <v/>
      </c>
      <c r="J25" s="25" t="n"/>
    </row>
    <row r="26">
      <c r="A26" s="25" t="n"/>
      <c r="B26" s="25" t="n"/>
      <c r="C26" s="25" t="n"/>
      <c r="D26" s="25" t="n"/>
      <c r="E26" s="25" t="n"/>
      <c r="F26" s="30">
        <f>IF(A26="","",COUNTIF(Pedidos!$D$2:$D$301,A26))</f>
        <v/>
      </c>
      <c r="G26" s="27">
        <f>IF(A26="","",SUMIF(Pedidos!$D$2:$D$301,A26,Pedidos!$M$2:$M$301))</f>
        <v/>
      </c>
      <c r="H26" s="31">
        <f>IF(OR(A26="",F26=0),"",_xlfn.MINIFS(Pedidos!$B$2:$B$301,Pedidos!$D$2:$D$301,A26))</f>
        <v/>
      </c>
      <c r="I26" s="31">
        <f>IF(OR(A26="",F26=0),"",_xlfn.MAXIFS(Pedidos!$B$2:$B$301,Pedidos!$D$2:$D$301,A26))</f>
        <v/>
      </c>
      <c r="J26" s="25" t="n"/>
    </row>
    <row r="27">
      <c r="A27" s="25" t="n"/>
      <c r="B27" s="25" t="n"/>
      <c r="C27" s="25" t="n"/>
      <c r="D27" s="25" t="n"/>
      <c r="E27" s="25" t="n"/>
      <c r="F27" s="30">
        <f>IF(A27="","",COUNTIF(Pedidos!$D$2:$D$301,A27))</f>
        <v/>
      </c>
      <c r="G27" s="27">
        <f>IF(A27="","",SUMIF(Pedidos!$D$2:$D$301,A27,Pedidos!$M$2:$M$301))</f>
        <v/>
      </c>
      <c r="H27" s="31">
        <f>IF(OR(A27="",F27=0),"",_xlfn.MINIFS(Pedidos!$B$2:$B$301,Pedidos!$D$2:$D$301,A27))</f>
        <v/>
      </c>
      <c r="I27" s="31">
        <f>IF(OR(A27="",F27=0),"",_xlfn.MAXIFS(Pedidos!$B$2:$B$301,Pedidos!$D$2:$D$301,A27))</f>
        <v/>
      </c>
      <c r="J27" s="25" t="n"/>
    </row>
    <row r="28">
      <c r="A28" s="25" t="n"/>
      <c r="B28" s="25" t="n"/>
      <c r="C28" s="25" t="n"/>
      <c r="D28" s="25" t="n"/>
      <c r="E28" s="25" t="n"/>
      <c r="F28" s="30">
        <f>IF(A28="","",COUNTIF(Pedidos!$D$2:$D$301,A28))</f>
        <v/>
      </c>
      <c r="G28" s="27">
        <f>IF(A28="","",SUMIF(Pedidos!$D$2:$D$301,A28,Pedidos!$M$2:$M$301))</f>
        <v/>
      </c>
      <c r="H28" s="31">
        <f>IF(OR(A28="",F28=0),"",_xlfn.MINIFS(Pedidos!$B$2:$B$301,Pedidos!$D$2:$D$301,A28))</f>
        <v/>
      </c>
      <c r="I28" s="31">
        <f>IF(OR(A28="",F28=0),"",_xlfn.MAXIFS(Pedidos!$B$2:$B$301,Pedidos!$D$2:$D$301,A28))</f>
        <v/>
      </c>
      <c r="J28" s="25" t="n"/>
    </row>
    <row r="29">
      <c r="A29" s="25" t="n"/>
      <c r="B29" s="25" t="n"/>
      <c r="C29" s="25" t="n"/>
      <c r="D29" s="25" t="n"/>
      <c r="E29" s="25" t="n"/>
      <c r="F29" s="30">
        <f>IF(A29="","",COUNTIF(Pedidos!$D$2:$D$301,A29))</f>
        <v/>
      </c>
      <c r="G29" s="27">
        <f>IF(A29="","",SUMIF(Pedidos!$D$2:$D$301,A29,Pedidos!$M$2:$M$301))</f>
        <v/>
      </c>
      <c r="H29" s="31">
        <f>IF(OR(A29="",F29=0),"",_xlfn.MINIFS(Pedidos!$B$2:$B$301,Pedidos!$D$2:$D$301,A29))</f>
        <v/>
      </c>
      <c r="I29" s="31">
        <f>IF(OR(A29="",F29=0),"",_xlfn.MAXIFS(Pedidos!$B$2:$B$301,Pedidos!$D$2:$D$301,A29))</f>
        <v/>
      </c>
      <c r="J29" s="25" t="n"/>
    </row>
    <row r="30">
      <c r="A30" s="25" t="n"/>
      <c r="B30" s="25" t="n"/>
      <c r="C30" s="25" t="n"/>
      <c r="D30" s="25" t="n"/>
      <c r="E30" s="25" t="n"/>
      <c r="F30" s="30">
        <f>IF(A30="","",COUNTIF(Pedidos!$D$2:$D$301,A30))</f>
        <v/>
      </c>
      <c r="G30" s="27">
        <f>IF(A30="","",SUMIF(Pedidos!$D$2:$D$301,A30,Pedidos!$M$2:$M$301))</f>
        <v/>
      </c>
      <c r="H30" s="31">
        <f>IF(OR(A30="",F30=0),"",_xlfn.MINIFS(Pedidos!$B$2:$B$301,Pedidos!$D$2:$D$301,A30))</f>
        <v/>
      </c>
      <c r="I30" s="31">
        <f>IF(OR(A30="",F30=0),"",_xlfn.MAXIFS(Pedidos!$B$2:$B$301,Pedidos!$D$2:$D$301,A30))</f>
        <v/>
      </c>
      <c r="J30" s="25" t="n"/>
    </row>
    <row r="31">
      <c r="A31" s="25" t="n"/>
      <c r="B31" s="25" t="n"/>
      <c r="C31" s="25" t="n"/>
      <c r="D31" s="25" t="n"/>
      <c r="E31" s="25" t="n"/>
      <c r="F31" s="30">
        <f>IF(A31="","",COUNTIF(Pedidos!$D$2:$D$301,A31))</f>
        <v/>
      </c>
      <c r="G31" s="27">
        <f>IF(A31="","",SUMIF(Pedidos!$D$2:$D$301,A31,Pedidos!$M$2:$M$301))</f>
        <v/>
      </c>
      <c r="H31" s="31">
        <f>IF(OR(A31="",F31=0),"",_xlfn.MINIFS(Pedidos!$B$2:$B$301,Pedidos!$D$2:$D$301,A31))</f>
        <v/>
      </c>
      <c r="I31" s="31">
        <f>IF(OR(A31="",F31=0),"",_xlfn.MAXIFS(Pedidos!$B$2:$B$301,Pedidos!$D$2:$D$301,A31))</f>
        <v/>
      </c>
      <c r="J31" s="25" t="n"/>
    </row>
    <row r="32">
      <c r="A32" s="25" t="n"/>
      <c r="B32" s="25" t="n"/>
      <c r="C32" s="25" t="n"/>
      <c r="D32" s="25" t="n"/>
      <c r="E32" s="25" t="n"/>
      <c r="F32" s="30">
        <f>IF(A32="","",COUNTIF(Pedidos!$D$2:$D$301,A32))</f>
        <v/>
      </c>
      <c r="G32" s="27">
        <f>IF(A32="","",SUMIF(Pedidos!$D$2:$D$301,A32,Pedidos!$M$2:$M$301))</f>
        <v/>
      </c>
      <c r="H32" s="31">
        <f>IF(OR(A32="",F32=0),"",_xlfn.MINIFS(Pedidos!$B$2:$B$301,Pedidos!$D$2:$D$301,A32))</f>
        <v/>
      </c>
      <c r="I32" s="31">
        <f>IF(OR(A32="",F32=0),"",_xlfn.MAXIFS(Pedidos!$B$2:$B$301,Pedidos!$D$2:$D$301,A32))</f>
        <v/>
      </c>
      <c r="J32" s="25" t="n"/>
    </row>
    <row r="33">
      <c r="A33" s="25" t="n"/>
      <c r="B33" s="25" t="n"/>
      <c r="C33" s="25" t="n"/>
      <c r="D33" s="25" t="n"/>
      <c r="E33" s="25" t="n"/>
      <c r="F33" s="30">
        <f>IF(A33="","",COUNTIF(Pedidos!$D$2:$D$301,A33))</f>
        <v/>
      </c>
      <c r="G33" s="27">
        <f>IF(A33="","",SUMIF(Pedidos!$D$2:$D$301,A33,Pedidos!$M$2:$M$301))</f>
        <v/>
      </c>
      <c r="H33" s="31">
        <f>IF(OR(A33="",F33=0),"",_xlfn.MINIFS(Pedidos!$B$2:$B$301,Pedidos!$D$2:$D$301,A33))</f>
        <v/>
      </c>
      <c r="I33" s="31">
        <f>IF(OR(A33="",F33=0),"",_xlfn.MAXIFS(Pedidos!$B$2:$B$301,Pedidos!$D$2:$D$301,A33))</f>
        <v/>
      </c>
      <c r="J33" s="25" t="n"/>
    </row>
    <row r="34">
      <c r="A34" s="25" t="n"/>
      <c r="B34" s="25" t="n"/>
      <c r="C34" s="25" t="n"/>
      <c r="D34" s="25" t="n"/>
      <c r="E34" s="25" t="n"/>
      <c r="F34" s="30">
        <f>IF(A34="","",COUNTIF(Pedidos!$D$2:$D$301,A34))</f>
        <v/>
      </c>
      <c r="G34" s="27">
        <f>IF(A34="","",SUMIF(Pedidos!$D$2:$D$301,A34,Pedidos!$M$2:$M$301))</f>
        <v/>
      </c>
      <c r="H34" s="31">
        <f>IF(OR(A34="",F34=0),"",_xlfn.MINIFS(Pedidos!$B$2:$B$301,Pedidos!$D$2:$D$301,A34))</f>
        <v/>
      </c>
      <c r="I34" s="31">
        <f>IF(OR(A34="",F34=0),"",_xlfn.MAXIFS(Pedidos!$B$2:$B$301,Pedidos!$D$2:$D$301,A34))</f>
        <v/>
      </c>
      <c r="J34" s="25" t="n"/>
    </row>
    <row r="35">
      <c r="A35" s="25" t="n"/>
      <c r="B35" s="25" t="n"/>
      <c r="C35" s="25" t="n"/>
      <c r="D35" s="25" t="n"/>
      <c r="E35" s="25" t="n"/>
      <c r="F35" s="30">
        <f>IF(A35="","",COUNTIF(Pedidos!$D$2:$D$301,A35))</f>
        <v/>
      </c>
      <c r="G35" s="27">
        <f>IF(A35="","",SUMIF(Pedidos!$D$2:$D$301,A35,Pedidos!$M$2:$M$301))</f>
        <v/>
      </c>
      <c r="H35" s="31">
        <f>IF(OR(A35="",F35=0),"",_xlfn.MINIFS(Pedidos!$B$2:$B$301,Pedidos!$D$2:$D$301,A35))</f>
        <v/>
      </c>
      <c r="I35" s="31">
        <f>IF(OR(A35="",F35=0),"",_xlfn.MAXIFS(Pedidos!$B$2:$B$301,Pedidos!$D$2:$D$301,A35))</f>
        <v/>
      </c>
      <c r="J35" s="25" t="n"/>
    </row>
    <row r="36">
      <c r="A36" s="25" t="n"/>
      <c r="B36" s="25" t="n"/>
      <c r="C36" s="25" t="n"/>
      <c r="D36" s="25" t="n"/>
      <c r="E36" s="25" t="n"/>
      <c r="F36" s="30">
        <f>IF(A36="","",COUNTIF(Pedidos!$D$2:$D$301,A36))</f>
        <v/>
      </c>
      <c r="G36" s="27">
        <f>IF(A36="","",SUMIF(Pedidos!$D$2:$D$301,A36,Pedidos!$M$2:$M$301))</f>
        <v/>
      </c>
      <c r="H36" s="31">
        <f>IF(OR(A36="",F36=0),"",_xlfn.MINIFS(Pedidos!$B$2:$B$301,Pedidos!$D$2:$D$301,A36))</f>
        <v/>
      </c>
      <c r="I36" s="31">
        <f>IF(OR(A36="",F36=0),"",_xlfn.MAXIFS(Pedidos!$B$2:$B$301,Pedidos!$D$2:$D$301,A36))</f>
        <v/>
      </c>
      <c r="J36" s="25" t="n"/>
    </row>
    <row r="37">
      <c r="A37" s="25" t="n"/>
      <c r="B37" s="25" t="n"/>
      <c r="C37" s="25" t="n"/>
      <c r="D37" s="25" t="n"/>
      <c r="E37" s="25" t="n"/>
      <c r="F37" s="30">
        <f>IF(A37="","",COUNTIF(Pedidos!$D$2:$D$301,A37))</f>
        <v/>
      </c>
      <c r="G37" s="27">
        <f>IF(A37="","",SUMIF(Pedidos!$D$2:$D$301,A37,Pedidos!$M$2:$M$301))</f>
        <v/>
      </c>
      <c r="H37" s="31">
        <f>IF(OR(A37="",F37=0),"",_xlfn.MINIFS(Pedidos!$B$2:$B$301,Pedidos!$D$2:$D$301,A37))</f>
        <v/>
      </c>
      <c r="I37" s="31">
        <f>IF(OR(A37="",F37=0),"",_xlfn.MAXIFS(Pedidos!$B$2:$B$301,Pedidos!$D$2:$D$301,A37))</f>
        <v/>
      </c>
      <c r="J37" s="25" t="n"/>
    </row>
    <row r="38">
      <c r="A38" s="25" t="n"/>
      <c r="B38" s="25" t="n"/>
      <c r="C38" s="25" t="n"/>
      <c r="D38" s="25" t="n"/>
      <c r="E38" s="25" t="n"/>
      <c r="F38" s="30">
        <f>IF(A38="","",COUNTIF(Pedidos!$D$2:$D$301,A38))</f>
        <v/>
      </c>
      <c r="G38" s="27">
        <f>IF(A38="","",SUMIF(Pedidos!$D$2:$D$301,A38,Pedidos!$M$2:$M$301))</f>
        <v/>
      </c>
      <c r="H38" s="31">
        <f>IF(OR(A38="",F38=0),"",_xlfn.MINIFS(Pedidos!$B$2:$B$301,Pedidos!$D$2:$D$301,A38))</f>
        <v/>
      </c>
      <c r="I38" s="31">
        <f>IF(OR(A38="",F38=0),"",_xlfn.MAXIFS(Pedidos!$B$2:$B$301,Pedidos!$D$2:$D$301,A38))</f>
        <v/>
      </c>
      <c r="J38" s="25" t="n"/>
    </row>
    <row r="39">
      <c r="A39" s="25" t="n"/>
      <c r="B39" s="25" t="n"/>
      <c r="C39" s="25" t="n"/>
      <c r="D39" s="25" t="n"/>
      <c r="E39" s="25" t="n"/>
      <c r="F39" s="30">
        <f>IF(A39="","",COUNTIF(Pedidos!$D$2:$D$301,A39))</f>
        <v/>
      </c>
      <c r="G39" s="27">
        <f>IF(A39="","",SUMIF(Pedidos!$D$2:$D$301,A39,Pedidos!$M$2:$M$301))</f>
        <v/>
      </c>
      <c r="H39" s="31">
        <f>IF(OR(A39="",F39=0),"",_xlfn.MINIFS(Pedidos!$B$2:$B$301,Pedidos!$D$2:$D$301,A39))</f>
        <v/>
      </c>
      <c r="I39" s="31">
        <f>IF(OR(A39="",F39=0),"",_xlfn.MAXIFS(Pedidos!$B$2:$B$301,Pedidos!$D$2:$D$301,A39))</f>
        <v/>
      </c>
      <c r="J39" s="25" t="n"/>
    </row>
    <row r="40">
      <c r="A40" s="25" t="n"/>
      <c r="B40" s="25" t="n"/>
      <c r="C40" s="25" t="n"/>
      <c r="D40" s="25" t="n"/>
      <c r="E40" s="25" t="n"/>
      <c r="F40" s="30">
        <f>IF(A40="","",COUNTIF(Pedidos!$D$2:$D$301,A40))</f>
        <v/>
      </c>
      <c r="G40" s="27">
        <f>IF(A40="","",SUMIF(Pedidos!$D$2:$D$301,A40,Pedidos!$M$2:$M$301))</f>
        <v/>
      </c>
      <c r="H40" s="31">
        <f>IF(OR(A40="",F40=0),"",_xlfn.MINIFS(Pedidos!$B$2:$B$301,Pedidos!$D$2:$D$301,A40))</f>
        <v/>
      </c>
      <c r="I40" s="31">
        <f>IF(OR(A40="",F40=0),"",_xlfn.MAXIFS(Pedidos!$B$2:$B$301,Pedidos!$D$2:$D$301,A40))</f>
        <v/>
      </c>
      <c r="J40" s="25" t="n"/>
    </row>
    <row r="41">
      <c r="A41" s="25" t="n"/>
      <c r="B41" s="25" t="n"/>
      <c r="C41" s="25" t="n"/>
      <c r="D41" s="25" t="n"/>
      <c r="E41" s="25" t="n"/>
      <c r="F41" s="30">
        <f>IF(A41="","",COUNTIF(Pedidos!$D$2:$D$301,A41))</f>
        <v/>
      </c>
      <c r="G41" s="27">
        <f>IF(A41="","",SUMIF(Pedidos!$D$2:$D$301,A41,Pedidos!$M$2:$M$301))</f>
        <v/>
      </c>
      <c r="H41" s="31">
        <f>IF(OR(A41="",F41=0),"",_xlfn.MINIFS(Pedidos!$B$2:$B$301,Pedidos!$D$2:$D$301,A41))</f>
        <v/>
      </c>
      <c r="I41" s="31">
        <f>IF(OR(A41="",F41=0),"",_xlfn.MAXIFS(Pedidos!$B$2:$B$301,Pedidos!$D$2:$D$301,A41))</f>
        <v/>
      </c>
      <c r="J41" s="25" t="n"/>
    </row>
    <row r="42">
      <c r="A42" s="25" t="n"/>
      <c r="B42" s="25" t="n"/>
      <c r="C42" s="25" t="n"/>
      <c r="D42" s="25" t="n"/>
      <c r="E42" s="25" t="n"/>
      <c r="F42" s="30">
        <f>IF(A42="","",COUNTIF(Pedidos!$D$2:$D$301,A42))</f>
        <v/>
      </c>
      <c r="G42" s="27">
        <f>IF(A42="","",SUMIF(Pedidos!$D$2:$D$301,A42,Pedidos!$M$2:$M$301))</f>
        <v/>
      </c>
      <c r="H42" s="31">
        <f>IF(OR(A42="",F42=0),"",_xlfn.MINIFS(Pedidos!$B$2:$B$301,Pedidos!$D$2:$D$301,A42))</f>
        <v/>
      </c>
      <c r="I42" s="31">
        <f>IF(OR(A42="",F42=0),"",_xlfn.MAXIFS(Pedidos!$B$2:$B$301,Pedidos!$D$2:$D$301,A42))</f>
        <v/>
      </c>
      <c r="J42" s="25" t="n"/>
    </row>
    <row r="43">
      <c r="A43" s="25" t="n"/>
      <c r="B43" s="25" t="n"/>
      <c r="C43" s="25" t="n"/>
      <c r="D43" s="25" t="n"/>
      <c r="E43" s="25" t="n"/>
      <c r="F43" s="30">
        <f>IF(A43="","",COUNTIF(Pedidos!$D$2:$D$301,A43))</f>
        <v/>
      </c>
      <c r="G43" s="27">
        <f>IF(A43="","",SUMIF(Pedidos!$D$2:$D$301,A43,Pedidos!$M$2:$M$301))</f>
        <v/>
      </c>
      <c r="H43" s="31">
        <f>IF(OR(A43="",F43=0),"",_xlfn.MINIFS(Pedidos!$B$2:$B$301,Pedidos!$D$2:$D$301,A43))</f>
        <v/>
      </c>
      <c r="I43" s="31">
        <f>IF(OR(A43="",F43=0),"",_xlfn.MAXIFS(Pedidos!$B$2:$B$301,Pedidos!$D$2:$D$301,A43))</f>
        <v/>
      </c>
      <c r="J43" s="25" t="n"/>
    </row>
    <row r="44">
      <c r="A44" s="25" t="n"/>
      <c r="B44" s="25" t="n"/>
      <c r="C44" s="25" t="n"/>
      <c r="D44" s="25" t="n"/>
      <c r="E44" s="25" t="n"/>
      <c r="F44" s="30">
        <f>IF(A44="","",COUNTIF(Pedidos!$D$2:$D$301,A44))</f>
        <v/>
      </c>
      <c r="G44" s="27">
        <f>IF(A44="","",SUMIF(Pedidos!$D$2:$D$301,A44,Pedidos!$M$2:$M$301))</f>
        <v/>
      </c>
      <c r="H44" s="31">
        <f>IF(OR(A44="",F44=0),"",_xlfn.MINIFS(Pedidos!$B$2:$B$301,Pedidos!$D$2:$D$301,A44))</f>
        <v/>
      </c>
      <c r="I44" s="31">
        <f>IF(OR(A44="",F44=0),"",_xlfn.MAXIFS(Pedidos!$B$2:$B$301,Pedidos!$D$2:$D$301,A44))</f>
        <v/>
      </c>
      <c r="J44" s="25" t="n"/>
    </row>
    <row r="45">
      <c r="A45" s="25" t="n"/>
      <c r="B45" s="25" t="n"/>
      <c r="C45" s="25" t="n"/>
      <c r="D45" s="25" t="n"/>
      <c r="E45" s="25" t="n"/>
      <c r="F45" s="30">
        <f>IF(A45="","",COUNTIF(Pedidos!$D$2:$D$301,A45))</f>
        <v/>
      </c>
      <c r="G45" s="27">
        <f>IF(A45="","",SUMIF(Pedidos!$D$2:$D$301,A45,Pedidos!$M$2:$M$301))</f>
        <v/>
      </c>
      <c r="H45" s="31">
        <f>IF(OR(A45="",F45=0),"",_xlfn.MINIFS(Pedidos!$B$2:$B$301,Pedidos!$D$2:$D$301,A45))</f>
        <v/>
      </c>
      <c r="I45" s="31">
        <f>IF(OR(A45="",F45=0),"",_xlfn.MAXIFS(Pedidos!$B$2:$B$301,Pedidos!$D$2:$D$301,A45))</f>
        <v/>
      </c>
      <c r="J45" s="25" t="n"/>
    </row>
    <row r="46">
      <c r="A46" s="25" t="n"/>
      <c r="B46" s="25" t="n"/>
      <c r="C46" s="25" t="n"/>
      <c r="D46" s="25" t="n"/>
      <c r="E46" s="25" t="n"/>
      <c r="F46" s="30">
        <f>IF(A46="","",COUNTIF(Pedidos!$D$2:$D$301,A46))</f>
        <v/>
      </c>
      <c r="G46" s="27">
        <f>IF(A46="","",SUMIF(Pedidos!$D$2:$D$301,A46,Pedidos!$M$2:$M$301))</f>
        <v/>
      </c>
      <c r="H46" s="31">
        <f>IF(OR(A46="",F46=0),"",_xlfn.MINIFS(Pedidos!$B$2:$B$301,Pedidos!$D$2:$D$301,A46))</f>
        <v/>
      </c>
      <c r="I46" s="31">
        <f>IF(OR(A46="",F46=0),"",_xlfn.MAXIFS(Pedidos!$B$2:$B$301,Pedidos!$D$2:$D$301,A46))</f>
        <v/>
      </c>
      <c r="J46" s="25" t="n"/>
    </row>
    <row r="47">
      <c r="A47" s="25" t="n"/>
      <c r="B47" s="25" t="n"/>
      <c r="C47" s="25" t="n"/>
      <c r="D47" s="25" t="n"/>
      <c r="E47" s="25" t="n"/>
      <c r="F47" s="30">
        <f>IF(A47="","",COUNTIF(Pedidos!$D$2:$D$301,A47))</f>
        <v/>
      </c>
      <c r="G47" s="27">
        <f>IF(A47="","",SUMIF(Pedidos!$D$2:$D$301,A47,Pedidos!$M$2:$M$301))</f>
        <v/>
      </c>
      <c r="H47" s="31">
        <f>IF(OR(A47="",F47=0),"",_xlfn.MINIFS(Pedidos!$B$2:$B$301,Pedidos!$D$2:$D$301,A47))</f>
        <v/>
      </c>
      <c r="I47" s="31">
        <f>IF(OR(A47="",F47=0),"",_xlfn.MAXIFS(Pedidos!$B$2:$B$301,Pedidos!$D$2:$D$301,A47))</f>
        <v/>
      </c>
      <c r="J47" s="25" t="n"/>
    </row>
    <row r="48">
      <c r="A48" s="25" t="n"/>
      <c r="B48" s="25" t="n"/>
      <c r="C48" s="25" t="n"/>
      <c r="D48" s="25" t="n"/>
      <c r="E48" s="25" t="n"/>
      <c r="F48" s="30">
        <f>IF(A48="","",COUNTIF(Pedidos!$D$2:$D$301,A48))</f>
        <v/>
      </c>
      <c r="G48" s="27">
        <f>IF(A48="","",SUMIF(Pedidos!$D$2:$D$301,A48,Pedidos!$M$2:$M$301))</f>
        <v/>
      </c>
      <c r="H48" s="31">
        <f>IF(OR(A48="",F48=0),"",_xlfn.MINIFS(Pedidos!$B$2:$B$301,Pedidos!$D$2:$D$301,A48))</f>
        <v/>
      </c>
      <c r="I48" s="31">
        <f>IF(OR(A48="",F48=0),"",_xlfn.MAXIFS(Pedidos!$B$2:$B$301,Pedidos!$D$2:$D$301,A48))</f>
        <v/>
      </c>
      <c r="J48" s="25" t="n"/>
    </row>
    <row r="49">
      <c r="A49" s="25" t="n"/>
      <c r="B49" s="25" t="n"/>
      <c r="C49" s="25" t="n"/>
      <c r="D49" s="25" t="n"/>
      <c r="E49" s="25" t="n"/>
      <c r="F49" s="30">
        <f>IF(A49="","",COUNTIF(Pedidos!$D$2:$D$301,A49))</f>
        <v/>
      </c>
      <c r="G49" s="27">
        <f>IF(A49="","",SUMIF(Pedidos!$D$2:$D$301,A49,Pedidos!$M$2:$M$301))</f>
        <v/>
      </c>
      <c r="H49" s="31">
        <f>IF(OR(A49="",F49=0),"",_xlfn.MINIFS(Pedidos!$B$2:$B$301,Pedidos!$D$2:$D$301,A49))</f>
        <v/>
      </c>
      <c r="I49" s="31">
        <f>IF(OR(A49="",F49=0),"",_xlfn.MAXIFS(Pedidos!$B$2:$B$301,Pedidos!$D$2:$D$301,A49))</f>
        <v/>
      </c>
      <c r="J49" s="25" t="n"/>
    </row>
    <row r="50">
      <c r="A50" s="25" t="n"/>
      <c r="B50" s="25" t="n"/>
      <c r="C50" s="25" t="n"/>
      <c r="D50" s="25" t="n"/>
      <c r="E50" s="25" t="n"/>
      <c r="F50" s="30">
        <f>IF(A50="","",COUNTIF(Pedidos!$D$2:$D$301,A50))</f>
        <v/>
      </c>
      <c r="G50" s="27">
        <f>IF(A50="","",SUMIF(Pedidos!$D$2:$D$301,A50,Pedidos!$M$2:$M$301))</f>
        <v/>
      </c>
      <c r="H50" s="31">
        <f>IF(OR(A50="",F50=0),"",_xlfn.MINIFS(Pedidos!$B$2:$B$301,Pedidos!$D$2:$D$301,A50))</f>
        <v/>
      </c>
      <c r="I50" s="31">
        <f>IF(OR(A50="",F50=0),"",_xlfn.MAXIFS(Pedidos!$B$2:$B$301,Pedidos!$D$2:$D$301,A50))</f>
        <v/>
      </c>
      <c r="J50" s="25" t="n"/>
    </row>
    <row r="51">
      <c r="A51" s="25" t="n"/>
      <c r="B51" s="25" t="n"/>
      <c r="C51" s="25" t="n"/>
      <c r="D51" s="25" t="n"/>
      <c r="E51" s="25" t="n"/>
      <c r="F51" s="30">
        <f>IF(A51="","",COUNTIF(Pedidos!$D$2:$D$301,A51))</f>
        <v/>
      </c>
      <c r="G51" s="27">
        <f>IF(A51="","",SUMIF(Pedidos!$D$2:$D$301,A51,Pedidos!$M$2:$M$301))</f>
        <v/>
      </c>
      <c r="H51" s="31">
        <f>IF(OR(A51="",F51=0),"",_xlfn.MINIFS(Pedidos!$B$2:$B$301,Pedidos!$D$2:$D$301,A51))</f>
        <v/>
      </c>
      <c r="I51" s="31">
        <f>IF(OR(A51="",F51=0),"",_xlfn.MAXIFS(Pedidos!$B$2:$B$301,Pedidos!$D$2:$D$301,A51))</f>
        <v/>
      </c>
      <c r="J51" s="25" t="n"/>
    </row>
    <row r="52">
      <c r="A52" s="25" t="n"/>
      <c r="B52" s="25" t="n"/>
      <c r="C52" s="25" t="n"/>
      <c r="D52" s="25" t="n"/>
      <c r="E52" s="25" t="n"/>
      <c r="F52" s="30">
        <f>IF(A52="","",COUNTIF(Pedidos!$D$2:$D$301,A52))</f>
        <v/>
      </c>
      <c r="G52" s="27">
        <f>IF(A52="","",SUMIF(Pedidos!$D$2:$D$301,A52,Pedidos!$M$2:$M$301))</f>
        <v/>
      </c>
      <c r="H52" s="31">
        <f>IF(OR(A52="",F52=0),"",_xlfn.MINIFS(Pedidos!$B$2:$B$301,Pedidos!$D$2:$D$301,A52))</f>
        <v/>
      </c>
      <c r="I52" s="31">
        <f>IF(OR(A52="",F52=0),"",_xlfn.MAXIFS(Pedidos!$B$2:$B$301,Pedidos!$D$2:$D$301,A52))</f>
        <v/>
      </c>
      <c r="J52" s="25" t="n"/>
    </row>
    <row r="53">
      <c r="A53" s="25" t="n"/>
      <c r="B53" s="25" t="n"/>
      <c r="C53" s="25" t="n"/>
      <c r="D53" s="25" t="n"/>
      <c r="E53" s="25" t="n"/>
      <c r="F53" s="30">
        <f>IF(A53="","",COUNTIF(Pedidos!$D$2:$D$301,A53))</f>
        <v/>
      </c>
      <c r="G53" s="27">
        <f>IF(A53="","",SUMIF(Pedidos!$D$2:$D$301,A53,Pedidos!$M$2:$M$301))</f>
        <v/>
      </c>
      <c r="H53" s="31">
        <f>IF(OR(A53="",F53=0),"",_xlfn.MINIFS(Pedidos!$B$2:$B$301,Pedidos!$D$2:$D$301,A53))</f>
        <v/>
      </c>
      <c r="I53" s="31">
        <f>IF(OR(A53="",F53=0),"",_xlfn.MAXIFS(Pedidos!$B$2:$B$301,Pedidos!$D$2:$D$301,A53))</f>
        <v/>
      </c>
      <c r="J53" s="25" t="n"/>
    </row>
    <row r="54">
      <c r="A54" s="25" t="n"/>
      <c r="B54" s="25" t="n"/>
      <c r="C54" s="25" t="n"/>
      <c r="D54" s="25" t="n"/>
      <c r="E54" s="25" t="n"/>
      <c r="F54" s="30">
        <f>IF(A54="","",COUNTIF(Pedidos!$D$2:$D$301,A54))</f>
        <v/>
      </c>
      <c r="G54" s="27">
        <f>IF(A54="","",SUMIF(Pedidos!$D$2:$D$301,A54,Pedidos!$M$2:$M$301))</f>
        <v/>
      </c>
      <c r="H54" s="31">
        <f>IF(OR(A54="",F54=0),"",_xlfn.MINIFS(Pedidos!$B$2:$B$301,Pedidos!$D$2:$D$301,A54))</f>
        <v/>
      </c>
      <c r="I54" s="31">
        <f>IF(OR(A54="",F54=0),"",_xlfn.MAXIFS(Pedidos!$B$2:$B$301,Pedidos!$D$2:$D$301,A54))</f>
        <v/>
      </c>
      <c r="J54" s="25" t="n"/>
    </row>
    <row r="55">
      <c r="A55" s="25" t="n"/>
      <c r="B55" s="25" t="n"/>
      <c r="C55" s="25" t="n"/>
      <c r="D55" s="25" t="n"/>
      <c r="E55" s="25" t="n"/>
      <c r="F55" s="30">
        <f>IF(A55="","",COUNTIF(Pedidos!$D$2:$D$301,A55))</f>
        <v/>
      </c>
      <c r="G55" s="27">
        <f>IF(A55="","",SUMIF(Pedidos!$D$2:$D$301,A55,Pedidos!$M$2:$M$301))</f>
        <v/>
      </c>
      <c r="H55" s="31">
        <f>IF(OR(A55="",F55=0),"",_xlfn.MINIFS(Pedidos!$B$2:$B$301,Pedidos!$D$2:$D$301,A55))</f>
        <v/>
      </c>
      <c r="I55" s="31">
        <f>IF(OR(A55="",F55=0),"",_xlfn.MAXIFS(Pedidos!$B$2:$B$301,Pedidos!$D$2:$D$301,A55))</f>
        <v/>
      </c>
      <c r="J55" s="25" t="n"/>
    </row>
    <row r="56">
      <c r="A56" s="25" t="n"/>
      <c r="B56" s="25" t="n"/>
      <c r="C56" s="25" t="n"/>
      <c r="D56" s="25" t="n"/>
      <c r="E56" s="25" t="n"/>
      <c r="F56" s="30">
        <f>IF(A56="","",COUNTIF(Pedidos!$D$2:$D$301,A56))</f>
        <v/>
      </c>
      <c r="G56" s="27">
        <f>IF(A56="","",SUMIF(Pedidos!$D$2:$D$301,A56,Pedidos!$M$2:$M$301))</f>
        <v/>
      </c>
      <c r="H56" s="31">
        <f>IF(OR(A56="",F56=0),"",_xlfn.MINIFS(Pedidos!$B$2:$B$301,Pedidos!$D$2:$D$301,A56))</f>
        <v/>
      </c>
      <c r="I56" s="31">
        <f>IF(OR(A56="",F56=0),"",_xlfn.MAXIFS(Pedidos!$B$2:$B$301,Pedidos!$D$2:$D$301,A56))</f>
        <v/>
      </c>
      <c r="J56" s="25" t="n"/>
    </row>
    <row r="57">
      <c r="A57" s="25" t="n"/>
      <c r="B57" s="25" t="n"/>
      <c r="C57" s="25" t="n"/>
      <c r="D57" s="25" t="n"/>
      <c r="E57" s="25" t="n"/>
      <c r="F57" s="30">
        <f>IF(A57="","",COUNTIF(Pedidos!$D$2:$D$301,A57))</f>
        <v/>
      </c>
      <c r="G57" s="27">
        <f>IF(A57="","",SUMIF(Pedidos!$D$2:$D$301,A57,Pedidos!$M$2:$M$301))</f>
        <v/>
      </c>
      <c r="H57" s="31">
        <f>IF(OR(A57="",F57=0),"",_xlfn.MINIFS(Pedidos!$B$2:$B$301,Pedidos!$D$2:$D$301,A57))</f>
        <v/>
      </c>
      <c r="I57" s="31">
        <f>IF(OR(A57="",F57=0),"",_xlfn.MAXIFS(Pedidos!$B$2:$B$301,Pedidos!$D$2:$D$301,A57))</f>
        <v/>
      </c>
      <c r="J57" s="25" t="n"/>
    </row>
    <row r="58">
      <c r="A58" s="25" t="n"/>
      <c r="B58" s="25" t="n"/>
      <c r="C58" s="25" t="n"/>
      <c r="D58" s="25" t="n"/>
      <c r="E58" s="25" t="n"/>
      <c r="F58" s="30">
        <f>IF(A58="","",COUNTIF(Pedidos!$D$2:$D$301,A58))</f>
        <v/>
      </c>
      <c r="G58" s="27">
        <f>IF(A58="","",SUMIF(Pedidos!$D$2:$D$301,A58,Pedidos!$M$2:$M$301))</f>
        <v/>
      </c>
      <c r="H58" s="31">
        <f>IF(OR(A58="",F58=0),"",_xlfn.MINIFS(Pedidos!$B$2:$B$301,Pedidos!$D$2:$D$301,A58))</f>
        <v/>
      </c>
      <c r="I58" s="31">
        <f>IF(OR(A58="",F58=0),"",_xlfn.MAXIFS(Pedidos!$B$2:$B$301,Pedidos!$D$2:$D$301,A58))</f>
        <v/>
      </c>
      <c r="J58" s="25" t="n"/>
    </row>
    <row r="59">
      <c r="A59" s="25" t="n"/>
      <c r="B59" s="25" t="n"/>
      <c r="C59" s="25" t="n"/>
      <c r="D59" s="25" t="n"/>
      <c r="E59" s="25" t="n"/>
      <c r="F59" s="30">
        <f>IF(A59="","",COUNTIF(Pedidos!$D$2:$D$301,A59))</f>
        <v/>
      </c>
      <c r="G59" s="27">
        <f>IF(A59="","",SUMIF(Pedidos!$D$2:$D$301,A59,Pedidos!$M$2:$M$301))</f>
        <v/>
      </c>
      <c r="H59" s="31">
        <f>IF(OR(A59="",F59=0),"",_xlfn.MINIFS(Pedidos!$B$2:$B$301,Pedidos!$D$2:$D$301,A59))</f>
        <v/>
      </c>
      <c r="I59" s="31">
        <f>IF(OR(A59="",F59=0),"",_xlfn.MAXIFS(Pedidos!$B$2:$B$301,Pedidos!$D$2:$D$301,A59))</f>
        <v/>
      </c>
      <c r="J59" s="25" t="n"/>
    </row>
    <row r="60">
      <c r="A60" s="25" t="n"/>
      <c r="B60" s="25" t="n"/>
      <c r="C60" s="25" t="n"/>
      <c r="D60" s="25" t="n"/>
      <c r="E60" s="25" t="n"/>
      <c r="F60" s="30">
        <f>IF(A60="","",COUNTIF(Pedidos!$D$2:$D$301,A60))</f>
        <v/>
      </c>
      <c r="G60" s="27">
        <f>IF(A60="","",SUMIF(Pedidos!$D$2:$D$301,A60,Pedidos!$M$2:$M$301))</f>
        <v/>
      </c>
      <c r="H60" s="31">
        <f>IF(OR(A60="",F60=0),"",_xlfn.MINIFS(Pedidos!$B$2:$B$301,Pedidos!$D$2:$D$301,A60))</f>
        <v/>
      </c>
      <c r="I60" s="31">
        <f>IF(OR(A60="",F60=0),"",_xlfn.MAXIFS(Pedidos!$B$2:$B$301,Pedidos!$D$2:$D$301,A60))</f>
        <v/>
      </c>
      <c r="J60" s="25" t="n"/>
    </row>
    <row r="61">
      <c r="A61" s="25" t="n"/>
      <c r="B61" s="25" t="n"/>
      <c r="C61" s="25" t="n"/>
      <c r="D61" s="25" t="n"/>
      <c r="E61" s="25" t="n"/>
      <c r="F61" s="30">
        <f>IF(A61="","",COUNTIF(Pedidos!$D$2:$D$301,A61))</f>
        <v/>
      </c>
      <c r="G61" s="27">
        <f>IF(A61="","",SUMIF(Pedidos!$D$2:$D$301,A61,Pedidos!$M$2:$M$301))</f>
        <v/>
      </c>
      <c r="H61" s="31">
        <f>IF(OR(A61="",F61=0),"",_xlfn.MINIFS(Pedidos!$B$2:$B$301,Pedidos!$D$2:$D$301,A61))</f>
        <v/>
      </c>
      <c r="I61" s="31">
        <f>IF(OR(A61="",F61=0),"",_xlfn.MAXIFS(Pedidos!$B$2:$B$301,Pedidos!$D$2:$D$301,A61))</f>
        <v/>
      </c>
      <c r="J61" s="25" t="n"/>
    </row>
    <row r="62">
      <c r="A62" s="25" t="n"/>
      <c r="B62" s="25" t="n"/>
      <c r="C62" s="25" t="n"/>
      <c r="D62" s="25" t="n"/>
      <c r="E62" s="25" t="n"/>
      <c r="F62" s="30">
        <f>IF(A62="","",COUNTIF(Pedidos!$D$2:$D$301,A62))</f>
        <v/>
      </c>
      <c r="G62" s="27">
        <f>IF(A62="","",SUMIF(Pedidos!$D$2:$D$301,A62,Pedidos!$M$2:$M$301))</f>
        <v/>
      </c>
      <c r="H62" s="31">
        <f>IF(OR(A62="",F62=0),"",_xlfn.MINIFS(Pedidos!$B$2:$B$301,Pedidos!$D$2:$D$301,A62))</f>
        <v/>
      </c>
      <c r="I62" s="31">
        <f>IF(OR(A62="",F62=0),"",_xlfn.MAXIFS(Pedidos!$B$2:$B$301,Pedidos!$D$2:$D$301,A62))</f>
        <v/>
      </c>
      <c r="J62" s="25" t="n"/>
    </row>
    <row r="63">
      <c r="A63" s="25" t="n"/>
      <c r="B63" s="25" t="n"/>
      <c r="C63" s="25" t="n"/>
      <c r="D63" s="25" t="n"/>
      <c r="E63" s="25" t="n"/>
      <c r="F63" s="30">
        <f>IF(A63="","",COUNTIF(Pedidos!$D$2:$D$301,A63))</f>
        <v/>
      </c>
      <c r="G63" s="27">
        <f>IF(A63="","",SUMIF(Pedidos!$D$2:$D$301,A63,Pedidos!$M$2:$M$301))</f>
        <v/>
      </c>
      <c r="H63" s="31">
        <f>IF(OR(A63="",F63=0),"",_xlfn.MINIFS(Pedidos!$B$2:$B$301,Pedidos!$D$2:$D$301,A63))</f>
        <v/>
      </c>
      <c r="I63" s="31">
        <f>IF(OR(A63="",F63=0),"",_xlfn.MAXIFS(Pedidos!$B$2:$B$301,Pedidos!$D$2:$D$301,A63))</f>
        <v/>
      </c>
      <c r="J63" s="25" t="n"/>
    </row>
    <row r="64">
      <c r="A64" s="25" t="n"/>
      <c r="B64" s="25" t="n"/>
      <c r="C64" s="25" t="n"/>
      <c r="D64" s="25" t="n"/>
      <c r="E64" s="25" t="n"/>
      <c r="F64" s="30">
        <f>IF(A64="","",COUNTIF(Pedidos!$D$2:$D$301,A64))</f>
        <v/>
      </c>
      <c r="G64" s="27">
        <f>IF(A64="","",SUMIF(Pedidos!$D$2:$D$301,A64,Pedidos!$M$2:$M$301))</f>
        <v/>
      </c>
      <c r="H64" s="31">
        <f>IF(OR(A64="",F64=0),"",_xlfn.MINIFS(Pedidos!$B$2:$B$301,Pedidos!$D$2:$D$301,A64))</f>
        <v/>
      </c>
      <c r="I64" s="31">
        <f>IF(OR(A64="",F64=0),"",_xlfn.MAXIFS(Pedidos!$B$2:$B$301,Pedidos!$D$2:$D$301,A64))</f>
        <v/>
      </c>
      <c r="J64" s="25" t="n"/>
    </row>
    <row r="65">
      <c r="A65" s="25" t="n"/>
      <c r="B65" s="25" t="n"/>
      <c r="C65" s="25" t="n"/>
      <c r="D65" s="25" t="n"/>
      <c r="E65" s="25" t="n"/>
      <c r="F65" s="30">
        <f>IF(A65="","",COUNTIF(Pedidos!$D$2:$D$301,A65))</f>
        <v/>
      </c>
      <c r="G65" s="27">
        <f>IF(A65="","",SUMIF(Pedidos!$D$2:$D$301,A65,Pedidos!$M$2:$M$301))</f>
        <v/>
      </c>
      <c r="H65" s="31">
        <f>IF(OR(A65="",F65=0),"",_xlfn.MINIFS(Pedidos!$B$2:$B$301,Pedidos!$D$2:$D$301,A65))</f>
        <v/>
      </c>
      <c r="I65" s="31">
        <f>IF(OR(A65="",F65=0),"",_xlfn.MAXIFS(Pedidos!$B$2:$B$301,Pedidos!$D$2:$D$301,A65))</f>
        <v/>
      </c>
      <c r="J65" s="25" t="n"/>
    </row>
    <row r="66">
      <c r="A66" s="25" t="n"/>
      <c r="B66" s="25" t="n"/>
      <c r="C66" s="25" t="n"/>
      <c r="D66" s="25" t="n"/>
      <c r="E66" s="25" t="n"/>
      <c r="F66" s="30">
        <f>IF(A66="","",COUNTIF(Pedidos!$D$2:$D$301,A66))</f>
        <v/>
      </c>
      <c r="G66" s="27">
        <f>IF(A66="","",SUMIF(Pedidos!$D$2:$D$301,A66,Pedidos!$M$2:$M$301))</f>
        <v/>
      </c>
      <c r="H66" s="31">
        <f>IF(OR(A66="",F66=0),"",_xlfn.MINIFS(Pedidos!$B$2:$B$301,Pedidos!$D$2:$D$301,A66))</f>
        <v/>
      </c>
      <c r="I66" s="31">
        <f>IF(OR(A66="",F66=0),"",_xlfn.MAXIFS(Pedidos!$B$2:$B$301,Pedidos!$D$2:$D$301,A66))</f>
        <v/>
      </c>
      <c r="J66" s="25" t="n"/>
    </row>
    <row r="67">
      <c r="A67" s="25" t="n"/>
      <c r="B67" s="25" t="n"/>
      <c r="C67" s="25" t="n"/>
      <c r="D67" s="25" t="n"/>
      <c r="E67" s="25" t="n"/>
      <c r="F67" s="30">
        <f>IF(A67="","",COUNTIF(Pedidos!$D$2:$D$301,A67))</f>
        <v/>
      </c>
      <c r="G67" s="27">
        <f>IF(A67="","",SUMIF(Pedidos!$D$2:$D$301,A67,Pedidos!$M$2:$M$301))</f>
        <v/>
      </c>
      <c r="H67" s="31">
        <f>IF(OR(A67="",F67=0),"",_xlfn.MINIFS(Pedidos!$B$2:$B$301,Pedidos!$D$2:$D$301,A67))</f>
        <v/>
      </c>
      <c r="I67" s="31">
        <f>IF(OR(A67="",F67=0),"",_xlfn.MAXIFS(Pedidos!$B$2:$B$301,Pedidos!$D$2:$D$301,A67))</f>
        <v/>
      </c>
      <c r="J67" s="25" t="n"/>
    </row>
    <row r="68">
      <c r="A68" s="25" t="n"/>
      <c r="B68" s="25" t="n"/>
      <c r="C68" s="25" t="n"/>
      <c r="D68" s="25" t="n"/>
      <c r="E68" s="25" t="n"/>
      <c r="F68" s="30">
        <f>IF(A68="","",COUNTIF(Pedidos!$D$2:$D$301,A68))</f>
        <v/>
      </c>
      <c r="G68" s="27">
        <f>IF(A68="","",SUMIF(Pedidos!$D$2:$D$301,A68,Pedidos!$M$2:$M$301))</f>
        <v/>
      </c>
      <c r="H68" s="31">
        <f>IF(OR(A68="",F68=0),"",_xlfn.MINIFS(Pedidos!$B$2:$B$301,Pedidos!$D$2:$D$301,A68))</f>
        <v/>
      </c>
      <c r="I68" s="31">
        <f>IF(OR(A68="",F68=0),"",_xlfn.MAXIFS(Pedidos!$B$2:$B$301,Pedidos!$D$2:$D$301,A68))</f>
        <v/>
      </c>
      <c r="J68" s="25" t="n"/>
    </row>
    <row r="69">
      <c r="A69" s="25" t="n"/>
      <c r="B69" s="25" t="n"/>
      <c r="C69" s="25" t="n"/>
      <c r="D69" s="25" t="n"/>
      <c r="E69" s="25" t="n"/>
      <c r="F69" s="30">
        <f>IF(A69="","",COUNTIF(Pedidos!$D$2:$D$301,A69))</f>
        <v/>
      </c>
      <c r="G69" s="27">
        <f>IF(A69="","",SUMIF(Pedidos!$D$2:$D$301,A69,Pedidos!$M$2:$M$301))</f>
        <v/>
      </c>
      <c r="H69" s="31">
        <f>IF(OR(A69="",F69=0),"",_xlfn.MINIFS(Pedidos!$B$2:$B$301,Pedidos!$D$2:$D$301,A69))</f>
        <v/>
      </c>
      <c r="I69" s="31">
        <f>IF(OR(A69="",F69=0),"",_xlfn.MAXIFS(Pedidos!$B$2:$B$301,Pedidos!$D$2:$D$301,A69))</f>
        <v/>
      </c>
      <c r="J69" s="25" t="n"/>
    </row>
    <row r="70">
      <c r="A70" s="25" t="n"/>
      <c r="B70" s="25" t="n"/>
      <c r="C70" s="25" t="n"/>
      <c r="D70" s="25" t="n"/>
      <c r="E70" s="25" t="n"/>
      <c r="F70" s="30">
        <f>IF(A70="","",COUNTIF(Pedidos!$D$2:$D$301,A70))</f>
        <v/>
      </c>
      <c r="G70" s="27">
        <f>IF(A70="","",SUMIF(Pedidos!$D$2:$D$301,A70,Pedidos!$M$2:$M$301))</f>
        <v/>
      </c>
      <c r="H70" s="31">
        <f>IF(OR(A70="",F70=0),"",_xlfn.MINIFS(Pedidos!$B$2:$B$301,Pedidos!$D$2:$D$301,A70))</f>
        <v/>
      </c>
      <c r="I70" s="31">
        <f>IF(OR(A70="",F70=0),"",_xlfn.MAXIFS(Pedidos!$B$2:$B$301,Pedidos!$D$2:$D$301,A70))</f>
        <v/>
      </c>
      <c r="J70" s="25" t="n"/>
    </row>
    <row r="71">
      <c r="A71" s="25" t="n"/>
      <c r="B71" s="25" t="n"/>
      <c r="C71" s="25" t="n"/>
      <c r="D71" s="25" t="n"/>
      <c r="E71" s="25" t="n"/>
      <c r="F71" s="30">
        <f>IF(A71="","",COUNTIF(Pedidos!$D$2:$D$301,A71))</f>
        <v/>
      </c>
      <c r="G71" s="27">
        <f>IF(A71="","",SUMIF(Pedidos!$D$2:$D$301,A71,Pedidos!$M$2:$M$301))</f>
        <v/>
      </c>
      <c r="H71" s="31">
        <f>IF(OR(A71="",F71=0),"",_xlfn.MINIFS(Pedidos!$B$2:$B$301,Pedidos!$D$2:$D$301,A71))</f>
        <v/>
      </c>
      <c r="I71" s="31">
        <f>IF(OR(A71="",F71=0),"",_xlfn.MAXIFS(Pedidos!$B$2:$B$301,Pedidos!$D$2:$D$301,A71))</f>
        <v/>
      </c>
      <c r="J71" s="25" t="n"/>
    </row>
    <row r="72">
      <c r="A72" s="25" t="n"/>
      <c r="B72" s="25" t="n"/>
      <c r="C72" s="25" t="n"/>
      <c r="D72" s="25" t="n"/>
      <c r="E72" s="25" t="n"/>
      <c r="F72" s="30">
        <f>IF(A72="","",COUNTIF(Pedidos!$D$2:$D$301,A72))</f>
        <v/>
      </c>
      <c r="G72" s="27">
        <f>IF(A72="","",SUMIF(Pedidos!$D$2:$D$301,A72,Pedidos!$M$2:$M$301))</f>
        <v/>
      </c>
      <c r="H72" s="31">
        <f>IF(OR(A72="",F72=0),"",_xlfn.MINIFS(Pedidos!$B$2:$B$301,Pedidos!$D$2:$D$301,A72))</f>
        <v/>
      </c>
      <c r="I72" s="31">
        <f>IF(OR(A72="",F72=0),"",_xlfn.MAXIFS(Pedidos!$B$2:$B$301,Pedidos!$D$2:$D$301,A72))</f>
        <v/>
      </c>
      <c r="J72" s="25" t="n"/>
    </row>
    <row r="73">
      <c r="A73" s="25" t="n"/>
      <c r="B73" s="25" t="n"/>
      <c r="C73" s="25" t="n"/>
      <c r="D73" s="25" t="n"/>
      <c r="E73" s="25" t="n"/>
      <c r="F73" s="30">
        <f>IF(A73="","",COUNTIF(Pedidos!$D$2:$D$301,A73))</f>
        <v/>
      </c>
      <c r="G73" s="27">
        <f>IF(A73="","",SUMIF(Pedidos!$D$2:$D$301,A73,Pedidos!$M$2:$M$301))</f>
        <v/>
      </c>
      <c r="H73" s="31">
        <f>IF(OR(A73="",F73=0),"",_xlfn.MINIFS(Pedidos!$B$2:$B$301,Pedidos!$D$2:$D$301,A73))</f>
        <v/>
      </c>
      <c r="I73" s="31">
        <f>IF(OR(A73="",F73=0),"",_xlfn.MAXIFS(Pedidos!$B$2:$B$301,Pedidos!$D$2:$D$301,A73))</f>
        <v/>
      </c>
      <c r="J73" s="25" t="n"/>
    </row>
    <row r="74">
      <c r="A74" s="25" t="n"/>
      <c r="B74" s="25" t="n"/>
      <c r="C74" s="25" t="n"/>
      <c r="D74" s="25" t="n"/>
      <c r="E74" s="25" t="n"/>
      <c r="F74" s="30">
        <f>IF(A74="","",COUNTIF(Pedidos!$D$2:$D$301,A74))</f>
        <v/>
      </c>
      <c r="G74" s="27">
        <f>IF(A74="","",SUMIF(Pedidos!$D$2:$D$301,A74,Pedidos!$M$2:$M$301))</f>
        <v/>
      </c>
      <c r="H74" s="31">
        <f>IF(OR(A74="",F74=0),"",_xlfn.MINIFS(Pedidos!$B$2:$B$301,Pedidos!$D$2:$D$301,A74))</f>
        <v/>
      </c>
      <c r="I74" s="31">
        <f>IF(OR(A74="",F74=0),"",_xlfn.MAXIFS(Pedidos!$B$2:$B$301,Pedidos!$D$2:$D$301,A74))</f>
        <v/>
      </c>
      <c r="J74" s="25" t="n"/>
    </row>
    <row r="75">
      <c r="A75" s="25" t="n"/>
      <c r="B75" s="25" t="n"/>
      <c r="C75" s="25" t="n"/>
      <c r="D75" s="25" t="n"/>
      <c r="E75" s="25" t="n"/>
      <c r="F75" s="30">
        <f>IF(A75="","",COUNTIF(Pedidos!$D$2:$D$301,A75))</f>
        <v/>
      </c>
      <c r="G75" s="27">
        <f>IF(A75="","",SUMIF(Pedidos!$D$2:$D$301,A75,Pedidos!$M$2:$M$301))</f>
        <v/>
      </c>
      <c r="H75" s="31">
        <f>IF(OR(A75="",F75=0),"",_xlfn.MINIFS(Pedidos!$B$2:$B$301,Pedidos!$D$2:$D$301,A75))</f>
        <v/>
      </c>
      <c r="I75" s="31">
        <f>IF(OR(A75="",F75=0),"",_xlfn.MAXIFS(Pedidos!$B$2:$B$301,Pedidos!$D$2:$D$301,A75))</f>
        <v/>
      </c>
      <c r="J75" s="25" t="n"/>
    </row>
    <row r="76">
      <c r="A76" s="25" t="n"/>
      <c r="B76" s="25" t="n"/>
      <c r="C76" s="25" t="n"/>
      <c r="D76" s="25" t="n"/>
      <c r="E76" s="25" t="n"/>
      <c r="F76" s="30">
        <f>IF(A76="","",COUNTIF(Pedidos!$D$2:$D$301,A76))</f>
        <v/>
      </c>
      <c r="G76" s="27">
        <f>IF(A76="","",SUMIF(Pedidos!$D$2:$D$301,A76,Pedidos!$M$2:$M$301))</f>
        <v/>
      </c>
      <c r="H76" s="31">
        <f>IF(OR(A76="",F76=0),"",_xlfn.MINIFS(Pedidos!$B$2:$B$301,Pedidos!$D$2:$D$301,A76))</f>
        <v/>
      </c>
      <c r="I76" s="31">
        <f>IF(OR(A76="",F76=0),"",_xlfn.MAXIFS(Pedidos!$B$2:$B$301,Pedidos!$D$2:$D$301,A76))</f>
        <v/>
      </c>
      <c r="J76" s="25" t="n"/>
    </row>
    <row r="77">
      <c r="A77" s="25" t="n"/>
      <c r="B77" s="25" t="n"/>
      <c r="C77" s="25" t="n"/>
      <c r="D77" s="25" t="n"/>
      <c r="E77" s="25" t="n"/>
      <c r="F77" s="30">
        <f>IF(A77="","",COUNTIF(Pedidos!$D$2:$D$301,A77))</f>
        <v/>
      </c>
      <c r="G77" s="27">
        <f>IF(A77="","",SUMIF(Pedidos!$D$2:$D$301,A77,Pedidos!$M$2:$M$301))</f>
        <v/>
      </c>
      <c r="H77" s="31">
        <f>IF(OR(A77="",F77=0),"",_xlfn.MINIFS(Pedidos!$B$2:$B$301,Pedidos!$D$2:$D$301,A77))</f>
        <v/>
      </c>
      <c r="I77" s="31">
        <f>IF(OR(A77="",F77=0),"",_xlfn.MAXIFS(Pedidos!$B$2:$B$301,Pedidos!$D$2:$D$301,A77))</f>
        <v/>
      </c>
      <c r="J77" s="25" t="n"/>
    </row>
    <row r="78">
      <c r="A78" s="25" t="n"/>
      <c r="B78" s="25" t="n"/>
      <c r="C78" s="25" t="n"/>
      <c r="D78" s="25" t="n"/>
      <c r="E78" s="25" t="n"/>
      <c r="F78" s="30">
        <f>IF(A78="","",COUNTIF(Pedidos!$D$2:$D$301,A78))</f>
        <v/>
      </c>
      <c r="G78" s="27">
        <f>IF(A78="","",SUMIF(Pedidos!$D$2:$D$301,A78,Pedidos!$M$2:$M$301))</f>
        <v/>
      </c>
      <c r="H78" s="31">
        <f>IF(OR(A78="",F78=0),"",_xlfn.MINIFS(Pedidos!$B$2:$B$301,Pedidos!$D$2:$D$301,A78))</f>
        <v/>
      </c>
      <c r="I78" s="31">
        <f>IF(OR(A78="",F78=0),"",_xlfn.MAXIFS(Pedidos!$B$2:$B$301,Pedidos!$D$2:$D$301,A78))</f>
        <v/>
      </c>
      <c r="J78" s="25" t="n"/>
    </row>
    <row r="79">
      <c r="A79" s="25" t="n"/>
      <c r="B79" s="25" t="n"/>
      <c r="C79" s="25" t="n"/>
      <c r="D79" s="25" t="n"/>
      <c r="E79" s="25" t="n"/>
      <c r="F79" s="30">
        <f>IF(A79="","",COUNTIF(Pedidos!$D$2:$D$301,A79))</f>
        <v/>
      </c>
      <c r="G79" s="27">
        <f>IF(A79="","",SUMIF(Pedidos!$D$2:$D$301,A79,Pedidos!$M$2:$M$301))</f>
        <v/>
      </c>
      <c r="H79" s="31">
        <f>IF(OR(A79="",F79=0),"",_xlfn.MINIFS(Pedidos!$B$2:$B$301,Pedidos!$D$2:$D$301,A79))</f>
        <v/>
      </c>
      <c r="I79" s="31">
        <f>IF(OR(A79="",F79=0),"",_xlfn.MAXIFS(Pedidos!$B$2:$B$301,Pedidos!$D$2:$D$301,A79))</f>
        <v/>
      </c>
      <c r="J79" s="25" t="n"/>
    </row>
    <row r="80">
      <c r="A80" s="25" t="n"/>
      <c r="B80" s="25" t="n"/>
      <c r="C80" s="25" t="n"/>
      <c r="D80" s="25" t="n"/>
      <c r="E80" s="25" t="n"/>
      <c r="F80" s="30">
        <f>IF(A80="","",COUNTIF(Pedidos!$D$2:$D$301,A80))</f>
        <v/>
      </c>
      <c r="G80" s="27">
        <f>IF(A80="","",SUMIF(Pedidos!$D$2:$D$301,A80,Pedidos!$M$2:$M$301))</f>
        <v/>
      </c>
      <c r="H80" s="31">
        <f>IF(OR(A80="",F80=0),"",_xlfn.MINIFS(Pedidos!$B$2:$B$301,Pedidos!$D$2:$D$301,A80))</f>
        <v/>
      </c>
      <c r="I80" s="31">
        <f>IF(OR(A80="",F80=0),"",_xlfn.MAXIFS(Pedidos!$B$2:$B$301,Pedidos!$D$2:$D$301,A80))</f>
        <v/>
      </c>
      <c r="J80" s="25" t="n"/>
    </row>
    <row r="81">
      <c r="A81" s="25" t="n"/>
      <c r="B81" s="25" t="n"/>
      <c r="C81" s="25" t="n"/>
      <c r="D81" s="25" t="n"/>
      <c r="E81" s="25" t="n"/>
      <c r="F81" s="30">
        <f>IF(A81="","",COUNTIF(Pedidos!$D$2:$D$301,A81))</f>
        <v/>
      </c>
      <c r="G81" s="27">
        <f>IF(A81="","",SUMIF(Pedidos!$D$2:$D$301,A81,Pedidos!$M$2:$M$301))</f>
        <v/>
      </c>
      <c r="H81" s="31">
        <f>IF(OR(A81="",F81=0),"",_xlfn.MINIFS(Pedidos!$B$2:$B$301,Pedidos!$D$2:$D$301,A81))</f>
        <v/>
      </c>
      <c r="I81" s="31">
        <f>IF(OR(A81="",F81=0),"",_xlfn.MAXIFS(Pedidos!$B$2:$B$301,Pedidos!$D$2:$D$301,A81))</f>
        <v/>
      </c>
      <c r="J81" s="25" t="n"/>
    </row>
    <row r="82">
      <c r="A82" s="25" t="n"/>
      <c r="B82" s="25" t="n"/>
      <c r="C82" s="25" t="n"/>
      <c r="D82" s="25" t="n"/>
      <c r="E82" s="25" t="n"/>
      <c r="F82" s="30">
        <f>IF(A82="","",COUNTIF(Pedidos!$D$2:$D$301,A82))</f>
        <v/>
      </c>
      <c r="G82" s="27">
        <f>IF(A82="","",SUMIF(Pedidos!$D$2:$D$301,A82,Pedidos!$M$2:$M$301))</f>
        <v/>
      </c>
      <c r="H82" s="31">
        <f>IF(OR(A82="",F82=0),"",_xlfn.MINIFS(Pedidos!$B$2:$B$301,Pedidos!$D$2:$D$301,A82))</f>
        <v/>
      </c>
      <c r="I82" s="31">
        <f>IF(OR(A82="",F82=0),"",_xlfn.MAXIFS(Pedidos!$B$2:$B$301,Pedidos!$D$2:$D$301,A82))</f>
        <v/>
      </c>
      <c r="J82" s="25" t="n"/>
    </row>
    <row r="83">
      <c r="A83" s="25" t="n"/>
      <c r="B83" s="25" t="n"/>
      <c r="C83" s="25" t="n"/>
      <c r="D83" s="25" t="n"/>
      <c r="E83" s="25" t="n"/>
      <c r="F83" s="30">
        <f>IF(A83="","",COUNTIF(Pedidos!$D$2:$D$301,A83))</f>
        <v/>
      </c>
      <c r="G83" s="27">
        <f>IF(A83="","",SUMIF(Pedidos!$D$2:$D$301,A83,Pedidos!$M$2:$M$301))</f>
        <v/>
      </c>
      <c r="H83" s="31">
        <f>IF(OR(A83="",F83=0),"",_xlfn.MINIFS(Pedidos!$B$2:$B$301,Pedidos!$D$2:$D$301,A83))</f>
        <v/>
      </c>
      <c r="I83" s="31">
        <f>IF(OR(A83="",F83=0),"",_xlfn.MAXIFS(Pedidos!$B$2:$B$301,Pedidos!$D$2:$D$301,A83))</f>
        <v/>
      </c>
      <c r="J83" s="25" t="n"/>
    </row>
    <row r="84">
      <c r="A84" s="25" t="n"/>
      <c r="B84" s="25" t="n"/>
      <c r="C84" s="25" t="n"/>
      <c r="D84" s="25" t="n"/>
      <c r="E84" s="25" t="n"/>
      <c r="F84" s="30">
        <f>IF(A84="","",COUNTIF(Pedidos!$D$2:$D$301,A84))</f>
        <v/>
      </c>
      <c r="G84" s="27">
        <f>IF(A84="","",SUMIF(Pedidos!$D$2:$D$301,A84,Pedidos!$M$2:$M$301))</f>
        <v/>
      </c>
      <c r="H84" s="31">
        <f>IF(OR(A84="",F84=0),"",_xlfn.MINIFS(Pedidos!$B$2:$B$301,Pedidos!$D$2:$D$301,A84))</f>
        <v/>
      </c>
      <c r="I84" s="31">
        <f>IF(OR(A84="",F84=0),"",_xlfn.MAXIFS(Pedidos!$B$2:$B$301,Pedidos!$D$2:$D$301,A84))</f>
        <v/>
      </c>
      <c r="J84" s="25" t="n"/>
    </row>
    <row r="85">
      <c r="A85" s="25" t="n"/>
      <c r="B85" s="25" t="n"/>
      <c r="C85" s="25" t="n"/>
      <c r="D85" s="25" t="n"/>
      <c r="E85" s="25" t="n"/>
      <c r="F85" s="30">
        <f>IF(A85="","",COUNTIF(Pedidos!$D$2:$D$301,A85))</f>
        <v/>
      </c>
      <c r="G85" s="27">
        <f>IF(A85="","",SUMIF(Pedidos!$D$2:$D$301,A85,Pedidos!$M$2:$M$301))</f>
        <v/>
      </c>
      <c r="H85" s="31">
        <f>IF(OR(A85="",F85=0),"",_xlfn.MINIFS(Pedidos!$B$2:$B$301,Pedidos!$D$2:$D$301,A85))</f>
        <v/>
      </c>
      <c r="I85" s="31">
        <f>IF(OR(A85="",F85=0),"",_xlfn.MAXIFS(Pedidos!$B$2:$B$301,Pedidos!$D$2:$D$301,A85))</f>
        <v/>
      </c>
      <c r="J85" s="25" t="n"/>
    </row>
    <row r="86">
      <c r="A86" s="25" t="n"/>
      <c r="B86" s="25" t="n"/>
      <c r="C86" s="25" t="n"/>
      <c r="D86" s="25" t="n"/>
      <c r="E86" s="25" t="n"/>
      <c r="F86" s="30">
        <f>IF(A86="","",COUNTIF(Pedidos!$D$2:$D$301,A86))</f>
        <v/>
      </c>
      <c r="G86" s="27">
        <f>IF(A86="","",SUMIF(Pedidos!$D$2:$D$301,A86,Pedidos!$M$2:$M$301))</f>
        <v/>
      </c>
      <c r="H86" s="31">
        <f>IF(OR(A86="",F86=0),"",_xlfn.MINIFS(Pedidos!$B$2:$B$301,Pedidos!$D$2:$D$301,A86))</f>
        <v/>
      </c>
      <c r="I86" s="31">
        <f>IF(OR(A86="",F86=0),"",_xlfn.MAXIFS(Pedidos!$B$2:$B$301,Pedidos!$D$2:$D$301,A86))</f>
        <v/>
      </c>
      <c r="J86" s="25" t="n"/>
    </row>
    <row r="87">
      <c r="A87" s="25" t="n"/>
      <c r="B87" s="25" t="n"/>
      <c r="C87" s="25" t="n"/>
      <c r="D87" s="25" t="n"/>
      <c r="E87" s="25" t="n"/>
      <c r="F87" s="30">
        <f>IF(A87="","",COUNTIF(Pedidos!$D$2:$D$301,A87))</f>
        <v/>
      </c>
      <c r="G87" s="27">
        <f>IF(A87="","",SUMIF(Pedidos!$D$2:$D$301,A87,Pedidos!$M$2:$M$301))</f>
        <v/>
      </c>
      <c r="H87" s="31">
        <f>IF(OR(A87="",F87=0),"",_xlfn.MINIFS(Pedidos!$B$2:$B$301,Pedidos!$D$2:$D$301,A87))</f>
        <v/>
      </c>
      <c r="I87" s="31">
        <f>IF(OR(A87="",F87=0),"",_xlfn.MAXIFS(Pedidos!$B$2:$B$301,Pedidos!$D$2:$D$301,A87))</f>
        <v/>
      </c>
      <c r="J87" s="25" t="n"/>
    </row>
    <row r="88">
      <c r="A88" s="25" t="n"/>
      <c r="B88" s="25" t="n"/>
      <c r="C88" s="25" t="n"/>
      <c r="D88" s="25" t="n"/>
      <c r="E88" s="25" t="n"/>
      <c r="F88" s="30">
        <f>IF(A88="","",COUNTIF(Pedidos!$D$2:$D$301,A88))</f>
        <v/>
      </c>
      <c r="G88" s="27">
        <f>IF(A88="","",SUMIF(Pedidos!$D$2:$D$301,A88,Pedidos!$M$2:$M$301))</f>
        <v/>
      </c>
      <c r="H88" s="31">
        <f>IF(OR(A88="",F88=0),"",_xlfn.MINIFS(Pedidos!$B$2:$B$301,Pedidos!$D$2:$D$301,A88))</f>
        <v/>
      </c>
      <c r="I88" s="31">
        <f>IF(OR(A88="",F88=0),"",_xlfn.MAXIFS(Pedidos!$B$2:$B$301,Pedidos!$D$2:$D$301,A88))</f>
        <v/>
      </c>
      <c r="J88" s="25" t="n"/>
    </row>
    <row r="89">
      <c r="A89" s="25" t="n"/>
      <c r="B89" s="25" t="n"/>
      <c r="C89" s="25" t="n"/>
      <c r="D89" s="25" t="n"/>
      <c r="E89" s="25" t="n"/>
      <c r="F89" s="30">
        <f>IF(A89="","",COUNTIF(Pedidos!$D$2:$D$301,A89))</f>
        <v/>
      </c>
      <c r="G89" s="27">
        <f>IF(A89="","",SUMIF(Pedidos!$D$2:$D$301,A89,Pedidos!$M$2:$M$301))</f>
        <v/>
      </c>
      <c r="H89" s="31">
        <f>IF(OR(A89="",F89=0),"",_xlfn.MINIFS(Pedidos!$B$2:$B$301,Pedidos!$D$2:$D$301,A89))</f>
        <v/>
      </c>
      <c r="I89" s="31">
        <f>IF(OR(A89="",F89=0),"",_xlfn.MAXIFS(Pedidos!$B$2:$B$301,Pedidos!$D$2:$D$301,A89))</f>
        <v/>
      </c>
      <c r="J89" s="25" t="n"/>
    </row>
    <row r="90">
      <c r="A90" s="25" t="n"/>
      <c r="B90" s="25" t="n"/>
      <c r="C90" s="25" t="n"/>
      <c r="D90" s="25" t="n"/>
      <c r="E90" s="25" t="n"/>
      <c r="F90" s="30">
        <f>IF(A90="","",COUNTIF(Pedidos!$D$2:$D$301,A90))</f>
        <v/>
      </c>
      <c r="G90" s="27">
        <f>IF(A90="","",SUMIF(Pedidos!$D$2:$D$301,A90,Pedidos!$M$2:$M$301))</f>
        <v/>
      </c>
      <c r="H90" s="31">
        <f>IF(OR(A90="",F90=0),"",_xlfn.MINIFS(Pedidos!$B$2:$B$301,Pedidos!$D$2:$D$301,A90))</f>
        <v/>
      </c>
      <c r="I90" s="31">
        <f>IF(OR(A90="",F90=0),"",_xlfn.MAXIFS(Pedidos!$B$2:$B$301,Pedidos!$D$2:$D$301,A90))</f>
        <v/>
      </c>
      <c r="J90" s="25" t="n"/>
    </row>
    <row r="91">
      <c r="A91" s="25" t="n"/>
      <c r="B91" s="25" t="n"/>
      <c r="C91" s="25" t="n"/>
      <c r="D91" s="25" t="n"/>
      <c r="E91" s="25" t="n"/>
      <c r="F91" s="30">
        <f>IF(A91="","",COUNTIF(Pedidos!$D$2:$D$301,A91))</f>
        <v/>
      </c>
      <c r="G91" s="27">
        <f>IF(A91="","",SUMIF(Pedidos!$D$2:$D$301,A91,Pedidos!$M$2:$M$301))</f>
        <v/>
      </c>
      <c r="H91" s="31">
        <f>IF(OR(A91="",F91=0),"",_xlfn.MINIFS(Pedidos!$B$2:$B$301,Pedidos!$D$2:$D$301,A91))</f>
        <v/>
      </c>
      <c r="I91" s="31">
        <f>IF(OR(A91="",F91=0),"",_xlfn.MAXIFS(Pedidos!$B$2:$B$301,Pedidos!$D$2:$D$301,A91))</f>
        <v/>
      </c>
      <c r="J91" s="25" t="n"/>
    </row>
    <row r="92">
      <c r="A92" s="25" t="n"/>
      <c r="B92" s="25" t="n"/>
      <c r="C92" s="25" t="n"/>
      <c r="D92" s="25" t="n"/>
      <c r="E92" s="25" t="n"/>
      <c r="F92" s="30">
        <f>IF(A92="","",COUNTIF(Pedidos!$D$2:$D$301,A92))</f>
        <v/>
      </c>
      <c r="G92" s="27">
        <f>IF(A92="","",SUMIF(Pedidos!$D$2:$D$301,A92,Pedidos!$M$2:$M$301))</f>
        <v/>
      </c>
      <c r="H92" s="31">
        <f>IF(OR(A92="",F92=0),"",_xlfn.MINIFS(Pedidos!$B$2:$B$301,Pedidos!$D$2:$D$301,A92))</f>
        <v/>
      </c>
      <c r="I92" s="31">
        <f>IF(OR(A92="",F92=0),"",_xlfn.MAXIFS(Pedidos!$B$2:$B$301,Pedidos!$D$2:$D$301,A92))</f>
        <v/>
      </c>
      <c r="J92" s="25" t="n"/>
    </row>
    <row r="93">
      <c r="A93" s="25" t="n"/>
      <c r="B93" s="25" t="n"/>
      <c r="C93" s="25" t="n"/>
      <c r="D93" s="25" t="n"/>
      <c r="E93" s="25" t="n"/>
      <c r="F93" s="30">
        <f>IF(A93="","",COUNTIF(Pedidos!$D$2:$D$301,A93))</f>
        <v/>
      </c>
      <c r="G93" s="27">
        <f>IF(A93="","",SUMIF(Pedidos!$D$2:$D$301,A93,Pedidos!$M$2:$M$301))</f>
        <v/>
      </c>
      <c r="H93" s="31">
        <f>IF(OR(A93="",F93=0),"",_xlfn.MINIFS(Pedidos!$B$2:$B$301,Pedidos!$D$2:$D$301,A93))</f>
        <v/>
      </c>
      <c r="I93" s="31">
        <f>IF(OR(A93="",F93=0),"",_xlfn.MAXIFS(Pedidos!$B$2:$B$301,Pedidos!$D$2:$D$301,A93))</f>
        <v/>
      </c>
      <c r="J93" s="25" t="n"/>
    </row>
    <row r="94">
      <c r="A94" s="25" t="n"/>
      <c r="B94" s="25" t="n"/>
      <c r="C94" s="25" t="n"/>
      <c r="D94" s="25" t="n"/>
      <c r="E94" s="25" t="n"/>
      <c r="F94" s="30">
        <f>IF(A94="","",COUNTIF(Pedidos!$D$2:$D$301,A94))</f>
        <v/>
      </c>
      <c r="G94" s="27">
        <f>IF(A94="","",SUMIF(Pedidos!$D$2:$D$301,A94,Pedidos!$M$2:$M$301))</f>
        <v/>
      </c>
      <c r="H94" s="31">
        <f>IF(OR(A94="",F94=0),"",_xlfn.MINIFS(Pedidos!$B$2:$B$301,Pedidos!$D$2:$D$301,A94))</f>
        <v/>
      </c>
      <c r="I94" s="31">
        <f>IF(OR(A94="",F94=0),"",_xlfn.MAXIFS(Pedidos!$B$2:$B$301,Pedidos!$D$2:$D$301,A94))</f>
        <v/>
      </c>
      <c r="J94" s="25" t="n"/>
    </row>
    <row r="95">
      <c r="A95" s="25" t="n"/>
      <c r="B95" s="25" t="n"/>
      <c r="C95" s="25" t="n"/>
      <c r="D95" s="25" t="n"/>
      <c r="E95" s="25" t="n"/>
      <c r="F95" s="30">
        <f>IF(A95="","",COUNTIF(Pedidos!$D$2:$D$301,A95))</f>
        <v/>
      </c>
      <c r="G95" s="27">
        <f>IF(A95="","",SUMIF(Pedidos!$D$2:$D$301,A95,Pedidos!$M$2:$M$301))</f>
        <v/>
      </c>
      <c r="H95" s="31">
        <f>IF(OR(A95="",F95=0),"",_xlfn.MINIFS(Pedidos!$B$2:$B$301,Pedidos!$D$2:$D$301,A95))</f>
        <v/>
      </c>
      <c r="I95" s="31">
        <f>IF(OR(A95="",F95=0),"",_xlfn.MAXIFS(Pedidos!$B$2:$B$301,Pedidos!$D$2:$D$301,A95))</f>
        <v/>
      </c>
      <c r="J95" s="25" t="n"/>
    </row>
    <row r="96">
      <c r="A96" s="25" t="n"/>
      <c r="B96" s="25" t="n"/>
      <c r="C96" s="25" t="n"/>
      <c r="D96" s="25" t="n"/>
      <c r="E96" s="25" t="n"/>
      <c r="F96" s="30">
        <f>IF(A96="","",COUNTIF(Pedidos!$D$2:$D$301,A96))</f>
        <v/>
      </c>
      <c r="G96" s="27">
        <f>IF(A96="","",SUMIF(Pedidos!$D$2:$D$301,A96,Pedidos!$M$2:$M$301))</f>
        <v/>
      </c>
      <c r="H96" s="31">
        <f>IF(OR(A96="",F96=0),"",_xlfn.MINIFS(Pedidos!$B$2:$B$301,Pedidos!$D$2:$D$301,A96))</f>
        <v/>
      </c>
      <c r="I96" s="31">
        <f>IF(OR(A96="",F96=0),"",_xlfn.MAXIFS(Pedidos!$B$2:$B$301,Pedidos!$D$2:$D$301,A96))</f>
        <v/>
      </c>
      <c r="J96" s="25" t="n"/>
    </row>
    <row r="97">
      <c r="A97" s="25" t="n"/>
      <c r="B97" s="25" t="n"/>
      <c r="C97" s="25" t="n"/>
      <c r="D97" s="25" t="n"/>
      <c r="E97" s="25" t="n"/>
      <c r="F97" s="30">
        <f>IF(A97="","",COUNTIF(Pedidos!$D$2:$D$301,A97))</f>
        <v/>
      </c>
      <c r="G97" s="27">
        <f>IF(A97="","",SUMIF(Pedidos!$D$2:$D$301,A97,Pedidos!$M$2:$M$301))</f>
        <v/>
      </c>
      <c r="H97" s="31">
        <f>IF(OR(A97="",F97=0),"",_xlfn.MINIFS(Pedidos!$B$2:$B$301,Pedidos!$D$2:$D$301,A97))</f>
        <v/>
      </c>
      <c r="I97" s="31">
        <f>IF(OR(A97="",F97=0),"",_xlfn.MAXIFS(Pedidos!$B$2:$B$301,Pedidos!$D$2:$D$301,A97))</f>
        <v/>
      </c>
      <c r="J97" s="25" t="n"/>
    </row>
    <row r="98">
      <c r="A98" s="25" t="n"/>
      <c r="B98" s="25" t="n"/>
      <c r="C98" s="25" t="n"/>
      <c r="D98" s="25" t="n"/>
      <c r="E98" s="25" t="n"/>
      <c r="F98" s="30">
        <f>IF(A98="","",COUNTIF(Pedidos!$D$2:$D$301,A98))</f>
        <v/>
      </c>
      <c r="G98" s="27">
        <f>IF(A98="","",SUMIF(Pedidos!$D$2:$D$301,A98,Pedidos!$M$2:$M$301))</f>
        <v/>
      </c>
      <c r="H98" s="31">
        <f>IF(OR(A98="",F98=0),"",_xlfn.MINIFS(Pedidos!$B$2:$B$301,Pedidos!$D$2:$D$301,A98))</f>
        <v/>
      </c>
      <c r="I98" s="31">
        <f>IF(OR(A98="",F98=0),"",_xlfn.MAXIFS(Pedidos!$B$2:$B$301,Pedidos!$D$2:$D$301,A98))</f>
        <v/>
      </c>
      <c r="J98" s="25" t="n"/>
    </row>
    <row r="99">
      <c r="A99" s="25" t="n"/>
      <c r="B99" s="25" t="n"/>
      <c r="C99" s="25" t="n"/>
      <c r="D99" s="25" t="n"/>
      <c r="E99" s="25" t="n"/>
      <c r="F99" s="30">
        <f>IF(A99="","",COUNTIF(Pedidos!$D$2:$D$301,A99))</f>
        <v/>
      </c>
      <c r="G99" s="27">
        <f>IF(A99="","",SUMIF(Pedidos!$D$2:$D$301,A99,Pedidos!$M$2:$M$301))</f>
        <v/>
      </c>
      <c r="H99" s="31">
        <f>IF(OR(A99="",F99=0),"",_xlfn.MINIFS(Pedidos!$B$2:$B$301,Pedidos!$D$2:$D$301,A99))</f>
        <v/>
      </c>
      <c r="I99" s="31">
        <f>IF(OR(A99="",F99=0),"",_xlfn.MAXIFS(Pedidos!$B$2:$B$301,Pedidos!$D$2:$D$301,A99))</f>
        <v/>
      </c>
      <c r="J99" s="25" t="n"/>
    </row>
    <row r="100">
      <c r="A100" s="25" t="n"/>
      <c r="B100" s="25" t="n"/>
      <c r="C100" s="25" t="n"/>
      <c r="D100" s="25" t="n"/>
      <c r="E100" s="25" t="n"/>
      <c r="F100" s="30">
        <f>IF(A100="","",COUNTIF(Pedidos!$D$2:$D$301,A100))</f>
        <v/>
      </c>
      <c r="G100" s="27">
        <f>IF(A100="","",SUMIF(Pedidos!$D$2:$D$301,A100,Pedidos!$M$2:$M$301))</f>
        <v/>
      </c>
      <c r="H100" s="31">
        <f>IF(OR(A100="",F100=0),"",_xlfn.MINIFS(Pedidos!$B$2:$B$301,Pedidos!$D$2:$D$301,A100))</f>
        <v/>
      </c>
      <c r="I100" s="31">
        <f>IF(OR(A100="",F100=0),"",_xlfn.MAXIFS(Pedidos!$B$2:$B$301,Pedidos!$D$2:$D$301,A100))</f>
        <v/>
      </c>
      <c r="J100" s="25" t="n"/>
    </row>
    <row r="101">
      <c r="A101" s="25" t="n"/>
      <c r="B101" s="25" t="n"/>
      <c r="C101" s="25" t="n"/>
      <c r="D101" s="25" t="n"/>
      <c r="E101" s="25" t="n"/>
      <c r="F101" s="30">
        <f>IF(A101="","",COUNTIF(Pedidos!$D$2:$D$301,A101))</f>
        <v/>
      </c>
      <c r="G101" s="27">
        <f>IF(A101="","",SUMIF(Pedidos!$D$2:$D$301,A101,Pedidos!$M$2:$M$301))</f>
        <v/>
      </c>
      <c r="H101" s="31">
        <f>IF(OR(A101="",F101=0),"",_xlfn.MINIFS(Pedidos!$B$2:$B$301,Pedidos!$D$2:$D$301,A101))</f>
        <v/>
      </c>
      <c r="I101" s="31">
        <f>IF(OR(A101="",F101=0),"",_xlfn.MAXIFS(Pedidos!$B$2:$B$301,Pedidos!$D$2:$D$301,A101))</f>
        <v/>
      </c>
      <c r="J101" s="25" t="n"/>
    </row>
    <row r="102">
      <c r="A102" s="25" t="n"/>
      <c r="B102" s="25" t="n"/>
      <c r="C102" s="25" t="n"/>
      <c r="D102" s="25" t="n"/>
      <c r="E102" s="25" t="n"/>
      <c r="F102" s="30">
        <f>IF(A102="","",COUNTIF(Pedidos!$D$2:$D$301,A102))</f>
        <v/>
      </c>
      <c r="G102" s="27">
        <f>IF(A102="","",SUMIF(Pedidos!$D$2:$D$301,A102,Pedidos!$M$2:$M$301))</f>
        <v/>
      </c>
      <c r="H102" s="31">
        <f>IF(OR(A102="",F102=0),"",_xlfn.MINIFS(Pedidos!$B$2:$B$301,Pedidos!$D$2:$D$301,A102))</f>
        <v/>
      </c>
      <c r="I102" s="31">
        <f>IF(OR(A102="",F102=0),"",_xlfn.MAXIFS(Pedidos!$B$2:$B$301,Pedidos!$D$2:$D$301,A102))</f>
        <v/>
      </c>
      <c r="J102" s="25" t="n"/>
    </row>
    <row r="103">
      <c r="A103" s="25" t="n"/>
      <c r="B103" s="25" t="n"/>
      <c r="C103" s="25" t="n"/>
      <c r="D103" s="25" t="n"/>
      <c r="E103" s="25" t="n"/>
      <c r="F103" s="30">
        <f>IF(A103="","",COUNTIF(Pedidos!$D$2:$D$301,A103))</f>
        <v/>
      </c>
      <c r="G103" s="27">
        <f>IF(A103="","",SUMIF(Pedidos!$D$2:$D$301,A103,Pedidos!$M$2:$M$301))</f>
        <v/>
      </c>
      <c r="H103" s="31">
        <f>IF(OR(A103="",F103=0),"",_xlfn.MINIFS(Pedidos!$B$2:$B$301,Pedidos!$D$2:$D$301,A103))</f>
        <v/>
      </c>
      <c r="I103" s="31">
        <f>IF(OR(A103="",F103=0),"",_xlfn.MAXIFS(Pedidos!$B$2:$B$301,Pedidos!$D$2:$D$301,A103))</f>
        <v/>
      </c>
      <c r="J103" s="25" t="n"/>
    </row>
    <row r="104">
      <c r="A104" s="25" t="n"/>
      <c r="B104" s="25" t="n"/>
      <c r="C104" s="25" t="n"/>
      <c r="D104" s="25" t="n"/>
      <c r="E104" s="25" t="n"/>
      <c r="F104" s="30">
        <f>IF(A104="","",COUNTIF(Pedidos!$D$2:$D$301,A104))</f>
        <v/>
      </c>
      <c r="G104" s="27">
        <f>IF(A104="","",SUMIF(Pedidos!$D$2:$D$301,A104,Pedidos!$M$2:$M$301))</f>
        <v/>
      </c>
      <c r="H104" s="31">
        <f>IF(OR(A104="",F104=0),"",_xlfn.MINIFS(Pedidos!$B$2:$B$301,Pedidos!$D$2:$D$301,A104))</f>
        <v/>
      </c>
      <c r="I104" s="31">
        <f>IF(OR(A104="",F104=0),"",_xlfn.MAXIFS(Pedidos!$B$2:$B$301,Pedidos!$D$2:$D$301,A104))</f>
        <v/>
      </c>
      <c r="J104" s="25" t="n"/>
    </row>
    <row r="105">
      <c r="A105" s="25" t="n"/>
      <c r="B105" s="25" t="n"/>
      <c r="C105" s="25" t="n"/>
      <c r="D105" s="25" t="n"/>
      <c r="E105" s="25" t="n"/>
      <c r="F105" s="30">
        <f>IF(A105="","",COUNTIF(Pedidos!$D$2:$D$301,A105))</f>
        <v/>
      </c>
      <c r="G105" s="27">
        <f>IF(A105="","",SUMIF(Pedidos!$D$2:$D$301,A105,Pedidos!$M$2:$M$301))</f>
        <v/>
      </c>
      <c r="H105" s="31">
        <f>IF(OR(A105="",F105=0),"",_xlfn.MINIFS(Pedidos!$B$2:$B$301,Pedidos!$D$2:$D$301,A105))</f>
        <v/>
      </c>
      <c r="I105" s="31">
        <f>IF(OR(A105="",F105=0),"",_xlfn.MAXIFS(Pedidos!$B$2:$B$301,Pedidos!$D$2:$D$301,A105))</f>
        <v/>
      </c>
      <c r="J105" s="25" t="n"/>
    </row>
    <row r="106">
      <c r="A106" s="25" t="n"/>
      <c r="B106" s="25" t="n"/>
      <c r="C106" s="25" t="n"/>
      <c r="D106" s="25" t="n"/>
      <c r="E106" s="25" t="n"/>
      <c r="F106" s="30">
        <f>IF(A106="","",COUNTIF(Pedidos!$D$2:$D$301,A106))</f>
        <v/>
      </c>
      <c r="G106" s="27">
        <f>IF(A106="","",SUMIF(Pedidos!$D$2:$D$301,A106,Pedidos!$M$2:$M$301))</f>
        <v/>
      </c>
      <c r="H106" s="31">
        <f>IF(OR(A106="",F106=0),"",_xlfn.MINIFS(Pedidos!$B$2:$B$301,Pedidos!$D$2:$D$301,A106))</f>
        <v/>
      </c>
      <c r="I106" s="31">
        <f>IF(OR(A106="",F106=0),"",_xlfn.MAXIFS(Pedidos!$B$2:$B$301,Pedidos!$D$2:$D$301,A106))</f>
        <v/>
      </c>
      <c r="J106" s="25" t="n"/>
    </row>
    <row r="107">
      <c r="A107" s="25" t="n"/>
      <c r="B107" s="25" t="n"/>
      <c r="C107" s="25" t="n"/>
      <c r="D107" s="25" t="n"/>
      <c r="E107" s="25" t="n"/>
      <c r="F107" s="30">
        <f>IF(A107="","",COUNTIF(Pedidos!$D$2:$D$301,A107))</f>
        <v/>
      </c>
      <c r="G107" s="27">
        <f>IF(A107="","",SUMIF(Pedidos!$D$2:$D$301,A107,Pedidos!$M$2:$M$301))</f>
        <v/>
      </c>
      <c r="H107" s="31">
        <f>IF(OR(A107="",F107=0),"",_xlfn.MINIFS(Pedidos!$B$2:$B$301,Pedidos!$D$2:$D$301,A107))</f>
        <v/>
      </c>
      <c r="I107" s="31">
        <f>IF(OR(A107="",F107=0),"",_xlfn.MAXIFS(Pedidos!$B$2:$B$301,Pedidos!$D$2:$D$301,A107))</f>
        <v/>
      </c>
      <c r="J107" s="25" t="n"/>
    </row>
    <row r="108">
      <c r="A108" s="25" t="n"/>
      <c r="B108" s="25" t="n"/>
      <c r="C108" s="25" t="n"/>
      <c r="D108" s="25" t="n"/>
      <c r="E108" s="25" t="n"/>
      <c r="F108" s="30">
        <f>IF(A108="","",COUNTIF(Pedidos!$D$2:$D$301,A108))</f>
        <v/>
      </c>
      <c r="G108" s="27">
        <f>IF(A108="","",SUMIF(Pedidos!$D$2:$D$301,A108,Pedidos!$M$2:$M$301))</f>
        <v/>
      </c>
      <c r="H108" s="31">
        <f>IF(OR(A108="",F108=0),"",_xlfn.MINIFS(Pedidos!$B$2:$B$301,Pedidos!$D$2:$D$301,A108))</f>
        <v/>
      </c>
      <c r="I108" s="31">
        <f>IF(OR(A108="",F108=0),"",_xlfn.MAXIFS(Pedidos!$B$2:$B$301,Pedidos!$D$2:$D$301,A108))</f>
        <v/>
      </c>
      <c r="J108" s="25" t="n"/>
    </row>
    <row r="109">
      <c r="A109" s="25" t="n"/>
      <c r="B109" s="25" t="n"/>
      <c r="C109" s="25" t="n"/>
      <c r="D109" s="25" t="n"/>
      <c r="E109" s="25" t="n"/>
      <c r="F109" s="30">
        <f>IF(A109="","",COUNTIF(Pedidos!$D$2:$D$301,A109))</f>
        <v/>
      </c>
      <c r="G109" s="27">
        <f>IF(A109="","",SUMIF(Pedidos!$D$2:$D$301,A109,Pedidos!$M$2:$M$301))</f>
        <v/>
      </c>
      <c r="H109" s="31">
        <f>IF(OR(A109="",F109=0),"",_xlfn.MINIFS(Pedidos!$B$2:$B$301,Pedidos!$D$2:$D$301,A109))</f>
        <v/>
      </c>
      <c r="I109" s="31">
        <f>IF(OR(A109="",F109=0),"",_xlfn.MAXIFS(Pedidos!$B$2:$B$301,Pedidos!$D$2:$D$301,A109))</f>
        <v/>
      </c>
      <c r="J109" s="25" t="n"/>
    </row>
    <row r="110">
      <c r="A110" s="25" t="n"/>
      <c r="B110" s="25" t="n"/>
      <c r="C110" s="25" t="n"/>
      <c r="D110" s="25" t="n"/>
      <c r="E110" s="25" t="n"/>
      <c r="F110" s="30">
        <f>IF(A110="","",COUNTIF(Pedidos!$D$2:$D$301,A110))</f>
        <v/>
      </c>
      <c r="G110" s="27">
        <f>IF(A110="","",SUMIF(Pedidos!$D$2:$D$301,A110,Pedidos!$M$2:$M$301))</f>
        <v/>
      </c>
      <c r="H110" s="31">
        <f>IF(OR(A110="",F110=0),"",_xlfn.MINIFS(Pedidos!$B$2:$B$301,Pedidos!$D$2:$D$301,A110))</f>
        <v/>
      </c>
      <c r="I110" s="31">
        <f>IF(OR(A110="",F110=0),"",_xlfn.MAXIFS(Pedidos!$B$2:$B$301,Pedidos!$D$2:$D$301,A110))</f>
        <v/>
      </c>
      <c r="J110" s="25" t="n"/>
    </row>
    <row r="111">
      <c r="A111" s="25" t="n"/>
      <c r="B111" s="25" t="n"/>
      <c r="C111" s="25" t="n"/>
      <c r="D111" s="25" t="n"/>
      <c r="E111" s="25" t="n"/>
      <c r="F111" s="30">
        <f>IF(A111="","",COUNTIF(Pedidos!$D$2:$D$301,A111))</f>
        <v/>
      </c>
      <c r="G111" s="27">
        <f>IF(A111="","",SUMIF(Pedidos!$D$2:$D$301,A111,Pedidos!$M$2:$M$301))</f>
        <v/>
      </c>
      <c r="H111" s="31">
        <f>IF(OR(A111="",F111=0),"",_xlfn.MINIFS(Pedidos!$B$2:$B$301,Pedidos!$D$2:$D$301,A111))</f>
        <v/>
      </c>
      <c r="I111" s="31">
        <f>IF(OR(A111="",F111=0),"",_xlfn.MAXIFS(Pedidos!$B$2:$B$301,Pedidos!$D$2:$D$301,A111))</f>
        <v/>
      </c>
      <c r="J111" s="25" t="n"/>
    </row>
    <row r="112">
      <c r="A112" s="25" t="n"/>
      <c r="B112" s="25" t="n"/>
      <c r="C112" s="25" t="n"/>
      <c r="D112" s="25" t="n"/>
      <c r="E112" s="25" t="n"/>
      <c r="F112" s="30">
        <f>IF(A112="","",COUNTIF(Pedidos!$D$2:$D$301,A112))</f>
        <v/>
      </c>
      <c r="G112" s="27">
        <f>IF(A112="","",SUMIF(Pedidos!$D$2:$D$301,A112,Pedidos!$M$2:$M$301))</f>
        <v/>
      </c>
      <c r="H112" s="31">
        <f>IF(OR(A112="",F112=0),"",_xlfn.MINIFS(Pedidos!$B$2:$B$301,Pedidos!$D$2:$D$301,A112))</f>
        <v/>
      </c>
      <c r="I112" s="31">
        <f>IF(OR(A112="",F112=0),"",_xlfn.MAXIFS(Pedidos!$B$2:$B$301,Pedidos!$D$2:$D$301,A112))</f>
        <v/>
      </c>
      <c r="J112" s="25" t="n"/>
    </row>
    <row r="113">
      <c r="A113" s="25" t="n"/>
      <c r="B113" s="25" t="n"/>
      <c r="C113" s="25" t="n"/>
      <c r="D113" s="25" t="n"/>
      <c r="E113" s="25" t="n"/>
      <c r="F113" s="30">
        <f>IF(A113="","",COUNTIF(Pedidos!$D$2:$D$301,A113))</f>
        <v/>
      </c>
      <c r="G113" s="27">
        <f>IF(A113="","",SUMIF(Pedidos!$D$2:$D$301,A113,Pedidos!$M$2:$M$301))</f>
        <v/>
      </c>
      <c r="H113" s="31">
        <f>IF(OR(A113="",F113=0),"",_xlfn.MINIFS(Pedidos!$B$2:$B$301,Pedidos!$D$2:$D$301,A113))</f>
        <v/>
      </c>
      <c r="I113" s="31">
        <f>IF(OR(A113="",F113=0),"",_xlfn.MAXIFS(Pedidos!$B$2:$B$301,Pedidos!$D$2:$D$301,A113))</f>
        <v/>
      </c>
      <c r="J113" s="25" t="n"/>
    </row>
    <row r="114">
      <c r="A114" s="25" t="n"/>
      <c r="B114" s="25" t="n"/>
      <c r="C114" s="25" t="n"/>
      <c r="D114" s="25" t="n"/>
      <c r="E114" s="25" t="n"/>
      <c r="F114" s="30">
        <f>IF(A114="","",COUNTIF(Pedidos!$D$2:$D$301,A114))</f>
        <v/>
      </c>
      <c r="G114" s="27">
        <f>IF(A114="","",SUMIF(Pedidos!$D$2:$D$301,A114,Pedidos!$M$2:$M$301))</f>
        <v/>
      </c>
      <c r="H114" s="31">
        <f>IF(OR(A114="",F114=0),"",_xlfn.MINIFS(Pedidos!$B$2:$B$301,Pedidos!$D$2:$D$301,A114))</f>
        <v/>
      </c>
      <c r="I114" s="31">
        <f>IF(OR(A114="",F114=0),"",_xlfn.MAXIFS(Pedidos!$B$2:$B$301,Pedidos!$D$2:$D$301,A114))</f>
        <v/>
      </c>
      <c r="J114" s="25" t="n"/>
    </row>
    <row r="115">
      <c r="A115" s="25" t="n"/>
      <c r="B115" s="25" t="n"/>
      <c r="C115" s="25" t="n"/>
      <c r="D115" s="25" t="n"/>
      <c r="E115" s="25" t="n"/>
      <c r="F115" s="30">
        <f>IF(A115="","",COUNTIF(Pedidos!$D$2:$D$301,A115))</f>
        <v/>
      </c>
      <c r="G115" s="27">
        <f>IF(A115="","",SUMIF(Pedidos!$D$2:$D$301,A115,Pedidos!$M$2:$M$301))</f>
        <v/>
      </c>
      <c r="H115" s="31">
        <f>IF(OR(A115="",F115=0),"",_xlfn.MINIFS(Pedidos!$B$2:$B$301,Pedidos!$D$2:$D$301,A115))</f>
        <v/>
      </c>
      <c r="I115" s="31">
        <f>IF(OR(A115="",F115=0),"",_xlfn.MAXIFS(Pedidos!$B$2:$B$301,Pedidos!$D$2:$D$301,A115))</f>
        <v/>
      </c>
      <c r="J115" s="25" t="n"/>
    </row>
    <row r="116">
      <c r="A116" s="25" t="n"/>
      <c r="B116" s="25" t="n"/>
      <c r="C116" s="25" t="n"/>
      <c r="D116" s="25" t="n"/>
      <c r="E116" s="25" t="n"/>
      <c r="F116" s="30">
        <f>IF(A116="","",COUNTIF(Pedidos!$D$2:$D$301,A116))</f>
        <v/>
      </c>
      <c r="G116" s="27">
        <f>IF(A116="","",SUMIF(Pedidos!$D$2:$D$301,A116,Pedidos!$M$2:$M$301))</f>
        <v/>
      </c>
      <c r="H116" s="31">
        <f>IF(OR(A116="",F116=0),"",_xlfn.MINIFS(Pedidos!$B$2:$B$301,Pedidos!$D$2:$D$301,A116))</f>
        <v/>
      </c>
      <c r="I116" s="31">
        <f>IF(OR(A116="",F116=0),"",_xlfn.MAXIFS(Pedidos!$B$2:$B$301,Pedidos!$D$2:$D$301,A116))</f>
        <v/>
      </c>
      <c r="J116" s="25" t="n"/>
    </row>
    <row r="117">
      <c r="A117" s="25" t="n"/>
      <c r="B117" s="25" t="n"/>
      <c r="C117" s="25" t="n"/>
      <c r="D117" s="25" t="n"/>
      <c r="E117" s="25" t="n"/>
      <c r="F117" s="30">
        <f>IF(A117="","",COUNTIF(Pedidos!$D$2:$D$301,A117))</f>
        <v/>
      </c>
      <c r="G117" s="27">
        <f>IF(A117="","",SUMIF(Pedidos!$D$2:$D$301,A117,Pedidos!$M$2:$M$301))</f>
        <v/>
      </c>
      <c r="H117" s="31">
        <f>IF(OR(A117="",F117=0),"",_xlfn.MINIFS(Pedidos!$B$2:$B$301,Pedidos!$D$2:$D$301,A117))</f>
        <v/>
      </c>
      <c r="I117" s="31">
        <f>IF(OR(A117="",F117=0),"",_xlfn.MAXIFS(Pedidos!$B$2:$B$301,Pedidos!$D$2:$D$301,A117))</f>
        <v/>
      </c>
      <c r="J117" s="25" t="n"/>
    </row>
    <row r="118">
      <c r="A118" s="25" t="n"/>
      <c r="B118" s="25" t="n"/>
      <c r="C118" s="25" t="n"/>
      <c r="D118" s="25" t="n"/>
      <c r="E118" s="25" t="n"/>
      <c r="F118" s="30">
        <f>IF(A118="","",COUNTIF(Pedidos!$D$2:$D$301,A118))</f>
        <v/>
      </c>
      <c r="G118" s="27">
        <f>IF(A118="","",SUMIF(Pedidos!$D$2:$D$301,A118,Pedidos!$M$2:$M$301))</f>
        <v/>
      </c>
      <c r="H118" s="31">
        <f>IF(OR(A118="",F118=0),"",_xlfn.MINIFS(Pedidos!$B$2:$B$301,Pedidos!$D$2:$D$301,A118))</f>
        <v/>
      </c>
      <c r="I118" s="31">
        <f>IF(OR(A118="",F118=0),"",_xlfn.MAXIFS(Pedidos!$B$2:$B$301,Pedidos!$D$2:$D$301,A118))</f>
        <v/>
      </c>
      <c r="J118" s="25" t="n"/>
    </row>
    <row r="119">
      <c r="A119" s="25" t="n"/>
      <c r="B119" s="25" t="n"/>
      <c r="C119" s="25" t="n"/>
      <c r="D119" s="25" t="n"/>
      <c r="E119" s="25" t="n"/>
      <c r="F119" s="30">
        <f>IF(A119="","",COUNTIF(Pedidos!$D$2:$D$301,A119))</f>
        <v/>
      </c>
      <c r="G119" s="27">
        <f>IF(A119="","",SUMIF(Pedidos!$D$2:$D$301,A119,Pedidos!$M$2:$M$301))</f>
        <v/>
      </c>
      <c r="H119" s="31">
        <f>IF(OR(A119="",F119=0),"",_xlfn.MINIFS(Pedidos!$B$2:$B$301,Pedidos!$D$2:$D$301,A119))</f>
        <v/>
      </c>
      <c r="I119" s="31">
        <f>IF(OR(A119="",F119=0),"",_xlfn.MAXIFS(Pedidos!$B$2:$B$301,Pedidos!$D$2:$D$301,A119))</f>
        <v/>
      </c>
      <c r="J119" s="25" t="n"/>
    </row>
    <row r="120">
      <c r="A120" s="25" t="n"/>
      <c r="B120" s="25" t="n"/>
      <c r="C120" s="25" t="n"/>
      <c r="D120" s="25" t="n"/>
      <c r="E120" s="25" t="n"/>
      <c r="F120" s="30">
        <f>IF(A120="","",COUNTIF(Pedidos!$D$2:$D$301,A120))</f>
        <v/>
      </c>
      <c r="G120" s="27">
        <f>IF(A120="","",SUMIF(Pedidos!$D$2:$D$301,A120,Pedidos!$M$2:$M$301))</f>
        <v/>
      </c>
      <c r="H120" s="31">
        <f>IF(OR(A120="",F120=0),"",_xlfn.MINIFS(Pedidos!$B$2:$B$301,Pedidos!$D$2:$D$301,A120))</f>
        <v/>
      </c>
      <c r="I120" s="31">
        <f>IF(OR(A120="",F120=0),"",_xlfn.MAXIFS(Pedidos!$B$2:$B$301,Pedidos!$D$2:$D$301,A120))</f>
        <v/>
      </c>
      <c r="J120" s="25" t="n"/>
    </row>
    <row r="121">
      <c r="A121" s="25" t="n"/>
      <c r="B121" s="25" t="n"/>
      <c r="C121" s="25" t="n"/>
      <c r="D121" s="25" t="n"/>
      <c r="E121" s="25" t="n"/>
      <c r="F121" s="30">
        <f>IF(A121="","",COUNTIF(Pedidos!$D$2:$D$301,A121))</f>
        <v/>
      </c>
      <c r="G121" s="27">
        <f>IF(A121="","",SUMIF(Pedidos!$D$2:$D$301,A121,Pedidos!$M$2:$M$301))</f>
        <v/>
      </c>
      <c r="H121" s="31">
        <f>IF(OR(A121="",F121=0),"",_xlfn.MINIFS(Pedidos!$B$2:$B$301,Pedidos!$D$2:$D$301,A121))</f>
        <v/>
      </c>
      <c r="I121" s="31">
        <f>IF(OR(A121="",F121=0),"",_xlfn.MAXIFS(Pedidos!$B$2:$B$301,Pedidos!$D$2:$D$301,A121))</f>
        <v/>
      </c>
      <c r="J121" s="25" t="n"/>
    </row>
    <row r="122">
      <c r="A122" s="25" t="n"/>
      <c r="B122" s="25" t="n"/>
      <c r="C122" s="25" t="n"/>
      <c r="D122" s="25" t="n"/>
      <c r="E122" s="25" t="n"/>
      <c r="F122" s="30">
        <f>IF(A122="","",COUNTIF(Pedidos!$D$2:$D$301,A122))</f>
        <v/>
      </c>
      <c r="G122" s="27">
        <f>IF(A122="","",SUMIF(Pedidos!$D$2:$D$301,A122,Pedidos!$M$2:$M$301))</f>
        <v/>
      </c>
      <c r="H122" s="31">
        <f>IF(OR(A122="",F122=0),"",_xlfn.MINIFS(Pedidos!$B$2:$B$301,Pedidos!$D$2:$D$301,A122))</f>
        <v/>
      </c>
      <c r="I122" s="31">
        <f>IF(OR(A122="",F122=0),"",_xlfn.MAXIFS(Pedidos!$B$2:$B$301,Pedidos!$D$2:$D$301,A122))</f>
        <v/>
      </c>
      <c r="J122" s="25" t="n"/>
    </row>
    <row r="123">
      <c r="A123" s="25" t="n"/>
      <c r="B123" s="25" t="n"/>
      <c r="C123" s="25" t="n"/>
      <c r="D123" s="25" t="n"/>
      <c r="E123" s="25" t="n"/>
      <c r="F123" s="30">
        <f>IF(A123="","",COUNTIF(Pedidos!$D$2:$D$301,A123))</f>
        <v/>
      </c>
      <c r="G123" s="27">
        <f>IF(A123="","",SUMIF(Pedidos!$D$2:$D$301,A123,Pedidos!$M$2:$M$301))</f>
        <v/>
      </c>
      <c r="H123" s="31">
        <f>IF(OR(A123="",F123=0),"",_xlfn.MINIFS(Pedidos!$B$2:$B$301,Pedidos!$D$2:$D$301,A123))</f>
        <v/>
      </c>
      <c r="I123" s="31">
        <f>IF(OR(A123="",F123=0),"",_xlfn.MAXIFS(Pedidos!$B$2:$B$301,Pedidos!$D$2:$D$301,A123))</f>
        <v/>
      </c>
      <c r="J123" s="25" t="n"/>
    </row>
    <row r="124">
      <c r="A124" s="25" t="n"/>
      <c r="B124" s="25" t="n"/>
      <c r="C124" s="25" t="n"/>
      <c r="D124" s="25" t="n"/>
      <c r="E124" s="25" t="n"/>
      <c r="F124" s="30">
        <f>IF(A124="","",COUNTIF(Pedidos!$D$2:$D$301,A124))</f>
        <v/>
      </c>
      <c r="G124" s="27">
        <f>IF(A124="","",SUMIF(Pedidos!$D$2:$D$301,A124,Pedidos!$M$2:$M$301))</f>
        <v/>
      </c>
      <c r="H124" s="31">
        <f>IF(OR(A124="",F124=0),"",_xlfn.MINIFS(Pedidos!$B$2:$B$301,Pedidos!$D$2:$D$301,A124))</f>
        <v/>
      </c>
      <c r="I124" s="31">
        <f>IF(OR(A124="",F124=0),"",_xlfn.MAXIFS(Pedidos!$B$2:$B$301,Pedidos!$D$2:$D$301,A124))</f>
        <v/>
      </c>
      <c r="J124" s="25" t="n"/>
    </row>
    <row r="125">
      <c r="A125" s="25" t="n"/>
      <c r="B125" s="25" t="n"/>
      <c r="C125" s="25" t="n"/>
      <c r="D125" s="25" t="n"/>
      <c r="E125" s="25" t="n"/>
      <c r="F125" s="30">
        <f>IF(A125="","",COUNTIF(Pedidos!$D$2:$D$301,A125))</f>
        <v/>
      </c>
      <c r="G125" s="27">
        <f>IF(A125="","",SUMIF(Pedidos!$D$2:$D$301,A125,Pedidos!$M$2:$M$301))</f>
        <v/>
      </c>
      <c r="H125" s="31">
        <f>IF(OR(A125="",F125=0),"",_xlfn.MINIFS(Pedidos!$B$2:$B$301,Pedidos!$D$2:$D$301,A125))</f>
        <v/>
      </c>
      <c r="I125" s="31">
        <f>IF(OR(A125="",F125=0),"",_xlfn.MAXIFS(Pedidos!$B$2:$B$301,Pedidos!$D$2:$D$301,A125))</f>
        <v/>
      </c>
      <c r="J125" s="25" t="n"/>
    </row>
    <row r="126">
      <c r="A126" s="25" t="n"/>
      <c r="B126" s="25" t="n"/>
      <c r="C126" s="25" t="n"/>
      <c r="D126" s="25" t="n"/>
      <c r="E126" s="25" t="n"/>
      <c r="F126" s="30">
        <f>IF(A126="","",COUNTIF(Pedidos!$D$2:$D$301,A126))</f>
        <v/>
      </c>
      <c r="G126" s="27">
        <f>IF(A126="","",SUMIF(Pedidos!$D$2:$D$301,A126,Pedidos!$M$2:$M$301))</f>
        <v/>
      </c>
      <c r="H126" s="31">
        <f>IF(OR(A126="",F126=0),"",_xlfn.MINIFS(Pedidos!$B$2:$B$301,Pedidos!$D$2:$D$301,A126))</f>
        <v/>
      </c>
      <c r="I126" s="31">
        <f>IF(OR(A126="",F126=0),"",_xlfn.MAXIFS(Pedidos!$B$2:$B$301,Pedidos!$D$2:$D$301,A126))</f>
        <v/>
      </c>
      <c r="J126" s="25" t="n"/>
    </row>
    <row r="127">
      <c r="A127" s="25" t="n"/>
      <c r="B127" s="25" t="n"/>
      <c r="C127" s="25" t="n"/>
      <c r="D127" s="25" t="n"/>
      <c r="E127" s="25" t="n"/>
      <c r="F127" s="30">
        <f>IF(A127="","",COUNTIF(Pedidos!$D$2:$D$301,A127))</f>
        <v/>
      </c>
      <c r="G127" s="27">
        <f>IF(A127="","",SUMIF(Pedidos!$D$2:$D$301,A127,Pedidos!$M$2:$M$301))</f>
        <v/>
      </c>
      <c r="H127" s="31">
        <f>IF(OR(A127="",F127=0),"",_xlfn.MINIFS(Pedidos!$B$2:$B$301,Pedidos!$D$2:$D$301,A127))</f>
        <v/>
      </c>
      <c r="I127" s="31">
        <f>IF(OR(A127="",F127=0),"",_xlfn.MAXIFS(Pedidos!$B$2:$B$301,Pedidos!$D$2:$D$301,A127))</f>
        <v/>
      </c>
      <c r="J127" s="25" t="n"/>
    </row>
    <row r="128">
      <c r="A128" s="25" t="n"/>
      <c r="B128" s="25" t="n"/>
      <c r="C128" s="25" t="n"/>
      <c r="D128" s="25" t="n"/>
      <c r="E128" s="25" t="n"/>
      <c r="F128" s="30">
        <f>IF(A128="","",COUNTIF(Pedidos!$D$2:$D$301,A128))</f>
        <v/>
      </c>
      <c r="G128" s="27">
        <f>IF(A128="","",SUMIF(Pedidos!$D$2:$D$301,A128,Pedidos!$M$2:$M$301))</f>
        <v/>
      </c>
      <c r="H128" s="31">
        <f>IF(OR(A128="",F128=0),"",_xlfn.MINIFS(Pedidos!$B$2:$B$301,Pedidos!$D$2:$D$301,A128))</f>
        <v/>
      </c>
      <c r="I128" s="31">
        <f>IF(OR(A128="",F128=0),"",_xlfn.MAXIFS(Pedidos!$B$2:$B$301,Pedidos!$D$2:$D$301,A128))</f>
        <v/>
      </c>
      <c r="J128" s="25" t="n"/>
    </row>
    <row r="129">
      <c r="A129" s="25" t="n"/>
      <c r="B129" s="25" t="n"/>
      <c r="C129" s="25" t="n"/>
      <c r="D129" s="25" t="n"/>
      <c r="E129" s="25" t="n"/>
      <c r="F129" s="30">
        <f>IF(A129="","",COUNTIF(Pedidos!$D$2:$D$301,A129))</f>
        <v/>
      </c>
      <c r="G129" s="27">
        <f>IF(A129="","",SUMIF(Pedidos!$D$2:$D$301,A129,Pedidos!$M$2:$M$301))</f>
        <v/>
      </c>
      <c r="H129" s="31">
        <f>IF(OR(A129="",F129=0),"",_xlfn.MINIFS(Pedidos!$B$2:$B$301,Pedidos!$D$2:$D$301,A129))</f>
        <v/>
      </c>
      <c r="I129" s="31">
        <f>IF(OR(A129="",F129=0),"",_xlfn.MAXIFS(Pedidos!$B$2:$B$301,Pedidos!$D$2:$D$301,A129))</f>
        <v/>
      </c>
      <c r="J129" s="25" t="n"/>
    </row>
    <row r="130">
      <c r="A130" s="25" t="n"/>
      <c r="B130" s="25" t="n"/>
      <c r="C130" s="25" t="n"/>
      <c r="D130" s="25" t="n"/>
      <c r="E130" s="25" t="n"/>
      <c r="F130" s="30">
        <f>IF(A130="","",COUNTIF(Pedidos!$D$2:$D$301,A130))</f>
        <v/>
      </c>
      <c r="G130" s="27">
        <f>IF(A130="","",SUMIF(Pedidos!$D$2:$D$301,A130,Pedidos!$M$2:$M$301))</f>
        <v/>
      </c>
      <c r="H130" s="31">
        <f>IF(OR(A130="",F130=0),"",_xlfn.MINIFS(Pedidos!$B$2:$B$301,Pedidos!$D$2:$D$301,A130))</f>
        <v/>
      </c>
      <c r="I130" s="31">
        <f>IF(OR(A130="",F130=0),"",_xlfn.MAXIFS(Pedidos!$B$2:$B$301,Pedidos!$D$2:$D$301,A130))</f>
        <v/>
      </c>
      <c r="J130" s="25" t="n"/>
    </row>
    <row r="131">
      <c r="A131" s="25" t="n"/>
      <c r="B131" s="25" t="n"/>
      <c r="C131" s="25" t="n"/>
      <c r="D131" s="25" t="n"/>
      <c r="E131" s="25" t="n"/>
      <c r="F131" s="30">
        <f>IF(A131="","",COUNTIF(Pedidos!$D$2:$D$301,A131))</f>
        <v/>
      </c>
      <c r="G131" s="27">
        <f>IF(A131="","",SUMIF(Pedidos!$D$2:$D$301,A131,Pedidos!$M$2:$M$301))</f>
        <v/>
      </c>
      <c r="H131" s="31">
        <f>IF(OR(A131="",F131=0),"",_xlfn.MINIFS(Pedidos!$B$2:$B$301,Pedidos!$D$2:$D$301,A131))</f>
        <v/>
      </c>
      <c r="I131" s="31">
        <f>IF(OR(A131="",F131=0),"",_xlfn.MAXIFS(Pedidos!$B$2:$B$301,Pedidos!$D$2:$D$301,A131))</f>
        <v/>
      </c>
      <c r="J131" s="25" t="n"/>
    </row>
    <row r="132">
      <c r="A132" s="25" t="n"/>
      <c r="B132" s="25" t="n"/>
      <c r="C132" s="25" t="n"/>
      <c r="D132" s="25" t="n"/>
      <c r="E132" s="25" t="n"/>
      <c r="F132" s="30">
        <f>IF(A132="","",COUNTIF(Pedidos!$D$2:$D$301,A132))</f>
        <v/>
      </c>
      <c r="G132" s="27">
        <f>IF(A132="","",SUMIF(Pedidos!$D$2:$D$301,A132,Pedidos!$M$2:$M$301))</f>
        <v/>
      </c>
      <c r="H132" s="31">
        <f>IF(OR(A132="",F132=0),"",_xlfn.MINIFS(Pedidos!$B$2:$B$301,Pedidos!$D$2:$D$301,A132))</f>
        <v/>
      </c>
      <c r="I132" s="31">
        <f>IF(OR(A132="",F132=0),"",_xlfn.MAXIFS(Pedidos!$B$2:$B$301,Pedidos!$D$2:$D$301,A132))</f>
        <v/>
      </c>
      <c r="J132" s="25" t="n"/>
    </row>
    <row r="133">
      <c r="A133" s="25" t="n"/>
      <c r="B133" s="25" t="n"/>
      <c r="C133" s="25" t="n"/>
      <c r="D133" s="25" t="n"/>
      <c r="E133" s="25" t="n"/>
      <c r="F133" s="30">
        <f>IF(A133="","",COUNTIF(Pedidos!$D$2:$D$301,A133))</f>
        <v/>
      </c>
      <c r="G133" s="27">
        <f>IF(A133="","",SUMIF(Pedidos!$D$2:$D$301,A133,Pedidos!$M$2:$M$301))</f>
        <v/>
      </c>
      <c r="H133" s="31">
        <f>IF(OR(A133="",F133=0),"",_xlfn.MINIFS(Pedidos!$B$2:$B$301,Pedidos!$D$2:$D$301,A133))</f>
        <v/>
      </c>
      <c r="I133" s="31">
        <f>IF(OR(A133="",F133=0),"",_xlfn.MAXIFS(Pedidos!$B$2:$B$301,Pedidos!$D$2:$D$301,A133))</f>
        <v/>
      </c>
      <c r="J133" s="25" t="n"/>
    </row>
    <row r="134">
      <c r="A134" s="25" t="n"/>
      <c r="B134" s="25" t="n"/>
      <c r="C134" s="25" t="n"/>
      <c r="D134" s="25" t="n"/>
      <c r="E134" s="25" t="n"/>
      <c r="F134" s="30">
        <f>IF(A134="","",COUNTIF(Pedidos!$D$2:$D$301,A134))</f>
        <v/>
      </c>
      <c r="G134" s="27">
        <f>IF(A134="","",SUMIF(Pedidos!$D$2:$D$301,A134,Pedidos!$M$2:$M$301))</f>
        <v/>
      </c>
      <c r="H134" s="31">
        <f>IF(OR(A134="",F134=0),"",_xlfn.MINIFS(Pedidos!$B$2:$B$301,Pedidos!$D$2:$D$301,A134))</f>
        <v/>
      </c>
      <c r="I134" s="31">
        <f>IF(OR(A134="",F134=0),"",_xlfn.MAXIFS(Pedidos!$B$2:$B$301,Pedidos!$D$2:$D$301,A134))</f>
        <v/>
      </c>
      <c r="J134" s="25" t="n"/>
    </row>
    <row r="135">
      <c r="A135" s="25" t="n"/>
      <c r="B135" s="25" t="n"/>
      <c r="C135" s="25" t="n"/>
      <c r="D135" s="25" t="n"/>
      <c r="E135" s="25" t="n"/>
      <c r="F135" s="30">
        <f>IF(A135="","",COUNTIF(Pedidos!$D$2:$D$301,A135))</f>
        <v/>
      </c>
      <c r="G135" s="27">
        <f>IF(A135="","",SUMIF(Pedidos!$D$2:$D$301,A135,Pedidos!$M$2:$M$301))</f>
        <v/>
      </c>
      <c r="H135" s="31">
        <f>IF(OR(A135="",F135=0),"",_xlfn.MINIFS(Pedidos!$B$2:$B$301,Pedidos!$D$2:$D$301,A135))</f>
        <v/>
      </c>
      <c r="I135" s="31">
        <f>IF(OR(A135="",F135=0),"",_xlfn.MAXIFS(Pedidos!$B$2:$B$301,Pedidos!$D$2:$D$301,A135))</f>
        <v/>
      </c>
      <c r="J135" s="25" t="n"/>
    </row>
    <row r="136">
      <c r="A136" s="25" t="n"/>
      <c r="B136" s="25" t="n"/>
      <c r="C136" s="25" t="n"/>
      <c r="D136" s="25" t="n"/>
      <c r="E136" s="25" t="n"/>
      <c r="F136" s="30">
        <f>IF(A136="","",COUNTIF(Pedidos!$D$2:$D$301,A136))</f>
        <v/>
      </c>
      <c r="G136" s="27">
        <f>IF(A136="","",SUMIF(Pedidos!$D$2:$D$301,A136,Pedidos!$M$2:$M$301))</f>
        <v/>
      </c>
      <c r="H136" s="31">
        <f>IF(OR(A136="",F136=0),"",_xlfn.MINIFS(Pedidos!$B$2:$B$301,Pedidos!$D$2:$D$301,A136))</f>
        <v/>
      </c>
      <c r="I136" s="31">
        <f>IF(OR(A136="",F136=0),"",_xlfn.MAXIFS(Pedidos!$B$2:$B$301,Pedidos!$D$2:$D$301,A136))</f>
        <v/>
      </c>
      <c r="J136" s="25" t="n"/>
    </row>
    <row r="137">
      <c r="A137" s="25" t="n"/>
      <c r="B137" s="25" t="n"/>
      <c r="C137" s="25" t="n"/>
      <c r="D137" s="25" t="n"/>
      <c r="E137" s="25" t="n"/>
      <c r="F137" s="30">
        <f>IF(A137="","",COUNTIF(Pedidos!$D$2:$D$301,A137))</f>
        <v/>
      </c>
      <c r="G137" s="27">
        <f>IF(A137="","",SUMIF(Pedidos!$D$2:$D$301,A137,Pedidos!$M$2:$M$301))</f>
        <v/>
      </c>
      <c r="H137" s="31">
        <f>IF(OR(A137="",F137=0),"",_xlfn.MINIFS(Pedidos!$B$2:$B$301,Pedidos!$D$2:$D$301,A137))</f>
        <v/>
      </c>
      <c r="I137" s="31">
        <f>IF(OR(A137="",F137=0),"",_xlfn.MAXIFS(Pedidos!$B$2:$B$301,Pedidos!$D$2:$D$301,A137))</f>
        <v/>
      </c>
      <c r="J137" s="25" t="n"/>
    </row>
    <row r="138">
      <c r="A138" s="25" t="n"/>
      <c r="B138" s="25" t="n"/>
      <c r="C138" s="25" t="n"/>
      <c r="D138" s="25" t="n"/>
      <c r="E138" s="25" t="n"/>
      <c r="F138" s="30">
        <f>IF(A138="","",COUNTIF(Pedidos!$D$2:$D$301,A138))</f>
        <v/>
      </c>
      <c r="G138" s="27">
        <f>IF(A138="","",SUMIF(Pedidos!$D$2:$D$301,A138,Pedidos!$M$2:$M$301))</f>
        <v/>
      </c>
      <c r="H138" s="31">
        <f>IF(OR(A138="",F138=0),"",_xlfn.MINIFS(Pedidos!$B$2:$B$301,Pedidos!$D$2:$D$301,A138))</f>
        <v/>
      </c>
      <c r="I138" s="31">
        <f>IF(OR(A138="",F138=0),"",_xlfn.MAXIFS(Pedidos!$B$2:$B$301,Pedidos!$D$2:$D$301,A138))</f>
        <v/>
      </c>
      <c r="J138" s="25" t="n"/>
    </row>
    <row r="139">
      <c r="A139" s="25" t="n"/>
      <c r="B139" s="25" t="n"/>
      <c r="C139" s="25" t="n"/>
      <c r="D139" s="25" t="n"/>
      <c r="E139" s="25" t="n"/>
      <c r="F139" s="30">
        <f>IF(A139="","",COUNTIF(Pedidos!$D$2:$D$301,A139))</f>
        <v/>
      </c>
      <c r="G139" s="27">
        <f>IF(A139="","",SUMIF(Pedidos!$D$2:$D$301,A139,Pedidos!$M$2:$M$301))</f>
        <v/>
      </c>
      <c r="H139" s="31">
        <f>IF(OR(A139="",F139=0),"",_xlfn.MINIFS(Pedidos!$B$2:$B$301,Pedidos!$D$2:$D$301,A139))</f>
        <v/>
      </c>
      <c r="I139" s="31">
        <f>IF(OR(A139="",F139=0),"",_xlfn.MAXIFS(Pedidos!$B$2:$B$301,Pedidos!$D$2:$D$301,A139))</f>
        <v/>
      </c>
      <c r="J139" s="25" t="n"/>
    </row>
    <row r="140">
      <c r="A140" s="25" t="n"/>
      <c r="B140" s="25" t="n"/>
      <c r="C140" s="25" t="n"/>
      <c r="D140" s="25" t="n"/>
      <c r="E140" s="25" t="n"/>
      <c r="F140" s="30">
        <f>IF(A140="","",COUNTIF(Pedidos!$D$2:$D$301,A140))</f>
        <v/>
      </c>
      <c r="G140" s="27">
        <f>IF(A140="","",SUMIF(Pedidos!$D$2:$D$301,A140,Pedidos!$M$2:$M$301))</f>
        <v/>
      </c>
      <c r="H140" s="31">
        <f>IF(OR(A140="",F140=0),"",_xlfn.MINIFS(Pedidos!$B$2:$B$301,Pedidos!$D$2:$D$301,A140))</f>
        <v/>
      </c>
      <c r="I140" s="31">
        <f>IF(OR(A140="",F140=0),"",_xlfn.MAXIFS(Pedidos!$B$2:$B$301,Pedidos!$D$2:$D$301,A140))</f>
        <v/>
      </c>
      <c r="J140" s="25" t="n"/>
    </row>
    <row r="141">
      <c r="A141" s="25" t="n"/>
      <c r="B141" s="25" t="n"/>
      <c r="C141" s="25" t="n"/>
      <c r="D141" s="25" t="n"/>
      <c r="E141" s="25" t="n"/>
      <c r="F141" s="30">
        <f>IF(A141="","",COUNTIF(Pedidos!$D$2:$D$301,A141))</f>
        <v/>
      </c>
      <c r="G141" s="27">
        <f>IF(A141="","",SUMIF(Pedidos!$D$2:$D$301,A141,Pedidos!$M$2:$M$301))</f>
        <v/>
      </c>
      <c r="H141" s="31">
        <f>IF(OR(A141="",F141=0),"",_xlfn.MINIFS(Pedidos!$B$2:$B$301,Pedidos!$D$2:$D$301,A141))</f>
        <v/>
      </c>
      <c r="I141" s="31">
        <f>IF(OR(A141="",F141=0),"",_xlfn.MAXIFS(Pedidos!$B$2:$B$301,Pedidos!$D$2:$D$301,A141))</f>
        <v/>
      </c>
      <c r="J141" s="25" t="n"/>
    </row>
    <row r="142">
      <c r="A142" s="25" t="n"/>
      <c r="B142" s="25" t="n"/>
      <c r="C142" s="25" t="n"/>
      <c r="D142" s="25" t="n"/>
      <c r="E142" s="25" t="n"/>
      <c r="F142" s="30">
        <f>IF(A142="","",COUNTIF(Pedidos!$D$2:$D$301,A142))</f>
        <v/>
      </c>
      <c r="G142" s="27">
        <f>IF(A142="","",SUMIF(Pedidos!$D$2:$D$301,A142,Pedidos!$M$2:$M$301))</f>
        <v/>
      </c>
      <c r="H142" s="31">
        <f>IF(OR(A142="",F142=0),"",_xlfn.MINIFS(Pedidos!$B$2:$B$301,Pedidos!$D$2:$D$301,A142))</f>
        <v/>
      </c>
      <c r="I142" s="31">
        <f>IF(OR(A142="",F142=0),"",_xlfn.MAXIFS(Pedidos!$B$2:$B$301,Pedidos!$D$2:$D$301,A142))</f>
        <v/>
      </c>
      <c r="J142" s="25" t="n"/>
    </row>
    <row r="143">
      <c r="A143" s="25" t="n"/>
      <c r="B143" s="25" t="n"/>
      <c r="C143" s="25" t="n"/>
      <c r="D143" s="25" t="n"/>
      <c r="E143" s="25" t="n"/>
      <c r="F143" s="30">
        <f>IF(A143="","",COUNTIF(Pedidos!$D$2:$D$301,A143))</f>
        <v/>
      </c>
      <c r="G143" s="27">
        <f>IF(A143="","",SUMIF(Pedidos!$D$2:$D$301,A143,Pedidos!$M$2:$M$301))</f>
        <v/>
      </c>
      <c r="H143" s="31">
        <f>IF(OR(A143="",F143=0),"",_xlfn.MINIFS(Pedidos!$B$2:$B$301,Pedidos!$D$2:$D$301,A143))</f>
        <v/>
      </c>
      <c r="I143" s="31">
        <f>IF(OR(A143="",F143=0),"",_xlfn.MAXIFS(Pedidos!$B$2:$B$301,Pedidos!$D$2:$D$301,A143))</f>
        <v/>
      </c>
      <c r="J143" s="25" t="n"/>
    </row>
    <row r="144">
      <c r="A144" s="25" t="n"/>
      <c r="B144" s="25" t="n"/>
      <c r="C144" s="25" t="n"/>
      <c r="D144" s="25" t="n"/>
      <c r="E144" s="25" t="n"/>
      <c r="F144" s="30">
        <f>IF(A144="","",COUNTIF(Pedidos!$D$2:$D$301,A144))</f>
        <v/>
      </c>
      <c r="G144" s="27">
        <f>IF(A144="","",SUMIF(Pedidos!$D$2:$D$301,A144,Pedidos!$M$2:$M$301))</f>
        <v/>
      </c>
      <c r="H144" s="31">
        <f>IF(OR(A144="",F144=0),"",_xlfn.MINIFS(Pedidos!$B$2:$B$301,Pedidos!$D$2:$D$301,A144))</f>
        <v/>
      </c>
      <c r="I144" s="31">
        <f>IF(OR(A144="",F144=0),"",_xlfn.MAXIFS(Pedidos!$B$2:$B$301,Pedidos!$D$2:$D$301,A144))</f>
        <v/>
      </c>
      <c r="J144" s="25" t="n"/>
    </row>
    <row r="145">
      <c r="A145" s="25" t="n"/>
      <c r="B145" s="25" t="n"/>
      <c r="C145" s="25" t="n"/>
      <c r="D145" s="25" t="n"/>
      <c r="E145" s="25" t="n"/>
      <c r="F145" s="30">
        <f>IF(A145="","",COUNTIF(Pedidos!$D$2:$D$301,A145))</f>
        <v/>
      </c>
      <c r="G145" s="27">
        <f>IF(A145="","",SUMIF(Pedidos!$D$2:$D$301,A145,Pedidos!$M$2:$M$301))</f>
        <v/>
      </c>
      <c r="H145" s="31">
        <f>IF(OR(A145="",F145=0),"",_xlfn.MINIFS(Pedidos!$B$2:$B$301,Pedidos!$D$2:$D$301,A145))</f>
        <v/>
      </c>
      <c r="I145" s="31">
        <f>IF(OR(A145="",F145=0),"",_xlfn.MAXIFS(Pedidos!$B$2:$B$301,Pedidos!$D$2:$D$301,A145))</f>
        <v/>
      </c>
      <c r="J145" s="25" t="n"/>
    </row>
    <row r="146">
      <c r="A146" s="25" t="n"/>
      <c r="B146" s="25" t="n"/>
      <c r="C146" s="25" t="n"/>
      <c r="D146" s="25" t="n"/>
      <c r="E146" s="25" t="n"/>
      <c r="F146" s="30">
        <f>IF(A146="","",COUNTIF(Pedidos!$D$2:$D$301,A146))</f>
        <v/>
      </c>
      <c r="G146" s="27">
        <f>IF(A146="","",SUMIF(Pedidos!$D$2:$D$301,A146,Pedidos!$M$2:$M$301))</f>
        <v/>
      </c>
      <c r="H146" s="31">
        <f>IF(OR(A146="",F146=0),"",_xlfn.MINIFS(Pedidos!$B$2:$B$301,Pedidos!$D$2:$D$301,A146))</f>
        <v/>
      </c>
      <c r="I146" s="31">
        <f>IF(OR(A146="",F146=0),"",_xlfn.MAXIFS(Pedidos!$B$2:$B$301,Pedidos!$D$2:$D$301,A146))</f>
        <v/>
      </c>
      <c r="J146" s="25" t="n"/>
    </row>
    <row r="147">
      <c r="A147" s="25" t="n"/>
      <c r="B147" s="25" t="n"/>
      <c r="C147" s="25" t="n"/>
      <c r="D147" s="25" t="n"/>
      <c r="E147" s="25" t="n"/>
      <c r="F147" s="30">
        <f>IF(A147="","",COUNTIF(Pedidos!$D$2:$D$301,A147))</f>
        <v/>
      </c>
      <c r="G147" s="27">
        <f>IF(A147="","",SUMIF(Pedidos!$D$2:$D$301,A147,Pedidos!$M$2:$M$301))</f>
        <v/>
      </c>
      <c r="H147" s="31">
        <f>IF(OR(A147="",F147=0),"",_xlfn.MINIFS(Pedidos!$B$2:$B$301,Pedidos!$D$2:$D$301,A147))</f>
        <v/>
      </c>
      <c r="I147" s="31">
        <f>IF(OR(A147="",F147=0),"",_xlfn.MAXIFS(Pedidos!$B$2:$B$301,Pedidos!$D$2:$D$301,A147))</f>
        <v/>
      </c>
      <c r="J147" s="25" t="n"/>
    </row>
    <row r="148">
      <c r="A148" s="25" t="n"/>
      <c r="B148" s="25" t="n"/>
      <c r="C148" s="25" t="n"/>
      <c r="D148" s="25" t="n"/>
      <c r="E148" s="25" t="n"/>
      <c r="F148" s="30">
        <f>IF(A148="","",COUNTIF(Pedidos!$D$2:$D$301,A148))</f>
        <v/>
      </c>
      <c r="G148" s="27">
        <f>IF(A148="","",SUMIF(Pedidos!$D$2:$D$301,A148,Pedidos!$M$2:$M$301))</f>
        <v/>
      </c>
      <c r="H148" s="31">
        <f>IF(OR(A148="",F148=0),"",_xlfn.MINIFS(Pedidos!$B$2:$B$301,Pedidos!$D$2:$D$301,A148))</f>
        <v/>
      </c>
      <c r="I148" s="31">
        <f>IF(OR(A148="",F148=0),"",_xlfn.MAXIFS(Pedidos!$B$2:$B$301,Pedidos!$D$2:$D$301,A148))</f>
        <v/>
      </c>
      <c r="J148" s="25" t="n"/>
    </row>
    <row r="149">
      <c r="A149" s="25" t="n"/>
      <c r="B149" s="25" t="n"/>
      <c r="C149" s="25" t="n"/>
      <c r="D149" s="25" t="n"/>
      <c r="E149" s="25" t="n"/>
      <c r="F149" s="30">
        <f>IF(A149="","",COUNTIF(Pedidos!$D$2:$D$301,A149))</f>
        <v/>
      </c>
      <c r="G149" s="27">
        <f>IF(A149="","",SUMIF(Pedidos!$D$2:$D$301,A149,Pedidos!$M$2:$M$301))</f>
        <v/>
      </c>
      <c r="H149" s="31">
        <f>IF(OR(A149="",F149=0),"",_xlfn.MINIFS(Pedidos!$B$2:$B$301,Pedidos!$D$2:$D$301,A149))</f>
        <v/>
      </c>
      <c r="I149" s="31">
        <f>IF(OR(A149="",F149=0),"",_xlfn.MAXIFS(Pedidos!$B$2:$B$301,Pedidos!$D$2:$D$301,A149))</f>
        <v/>
      </c>
      <c r="J149" s="25" t="n"/>
    </row>
    <row r="150">
      <c r="A150" s="25" t="n"/>
      <c r="B150" s="25" t="n"/>
      <c r="C150" s="25" t="n"/>
      <c r="D150" s="25" t="n"/>
      <c r="E150" s="25" t="n"/>
      <c r="F150" s="30">
        <f>IF(A150="","",COUNTIF(Pedidos!$D$2:$D$301,A150))</f>
        <v/>
      </c>
      <c r="G150" s="27">
        <f>IF(A150="","",SUMIF(Pedidos!$D$2:$D$301,A150,Pedidos!$M$2:$M$301))</f>
        <v/>
      </c>
      <c r="H150" s="31">
        <f>IF(OR(A150="",F150=0),"",_xlfn.MINIFS(Pedidos!$B$2:$B$301,Pedidos!$D$2:$D$301,A150))</f>
        <v/>
      </c>
      <c r="I150" s="31">
        <f>IF(OR(A150="",F150=0),"",_xlfn.MAXIFS(Pedidos!$B$2:$B$301,Pedidos!$D$2:$D$301,A150))</f>
        <v/>
      </c>
      <c r="J150" s="25" t="n"/>
    </row>
    <row r="151">
      <c r="A151" s="25" t="n"/>
      <c r="B151" s="25" t="n"/>
      <c r="C151" s="25" t="n"/>
      <c r="D151" s="25" t="n"/>
      <c r="E151" s="25" t="n"/>
      <c r="F151" s="30">
        <f>IF(A151="","",COUNTIF(Pedidos!$D$2:$D$301,A151))</f>
        <v/>
      </c>
      <c r="G151" s="27">
        <f>IF(A151="","",SUMIF(Pedidos!$D$2:$D$301,A151,Pedidos!$M$2:$M$301))</f>
        <v/>
      </c>
      <c r="H151" s="31">
        <f>IF(OR(A151="",F151=0),"",_xlfn.MINIFS(Pedidos!$B$2:$B$301,Pedidos!$D$2:$D$301,A151))</f>
        <v/>
      </c>
      <c r="I151" s="31">
        <f>IF(OR(A151="",F151=0),"",_xlfn.MAXIFS(Pedidos!$B$2:$B$301,Pedidos!$D$2:$D$301,A151))</f>
        <v/>
      </c>
      <c r="J151" s="25" t="n"/>
    </row>
    <row r="152">
      <c r="A152" s="25" t="n"/>
      <c r="B152" s="25" t="n"/>
      <c r="C152" s="25" t="n"/>
      <c r="D152" s="25" t="n"/>
      <c r="E152" s="25" t="n"/>
      <c r="F152" s="30">
        <f>IF(A152="","",COUNTIF(Pedidos!$D$2:$D$301,A152))</f>
        <v/>
      </c>
      <c r="G152" s="27">
        <f>IF(A152="","",SUMIF(Pedidos!$D$2:$D$301,A152,Pedidos!$M$2:$M$301))</f>
        <v/>
      </c>
      <c r="H152" s="31">
        <f>IF(OR(A152="",F152=0),"",_xlfn.MINIFS(Pedidos!$B$2:$B$301,Pedidos!$D$2:$D$301,A152))</f>
        <v/>
      </c>
      <c r="I152" s="31">
        <f>IF(OR(A152="",F152=0),"",_xlfn.MAXIFS(Pedidos!$B$2:$B$301,Pedidos!$D$2:$D$301,A152))</f>
        <v/>
      </c>
      <c r="J152" s="25" t="n"/>
    </row>
    <row r="153">
      <c r="A153" s="25" t="n"/>
      <c r="B153" s="25" t="n"/>
      <c r="C153" s="25" t="n"/>
      <c r="D153" s="25" t="n"/>
      <c r="E153" s="25" t="n"/>
      <c r="F153" s="30">
        <f>IF(A153="","",COUNTIF(Pedidos!$D$2:$D$301,A153))</f>
        <v/>
      </c>
      <c r="G153" s="27">
        <f>IF(A153="","",SUMIF(Pedidos!$D$2:$D$301,A153,Pedidos!$M$2:$M$301))</f>
        <v/>
      </c>
      <c r="H153" s="31">
        <f>IF(OR(A153="",F153=0),"",_xlfn.MINIFS(Pedidos!$B$2:$B$301,Pedidos!$D$2:$D$301,A153))</f>
        <v/>
      </c>
      <c r="I153" s="31">
        <f>IF(OR(A153="",F153=0),"",_xlfn.MAXIFS(Pedidos!$B$2:$B$301,Pedidos!$D$2:$D$301,A153))</f>
        <v/>
      </c>
      <c r="J153" s="25" t="n"/>
    </row>
    <row r="154">
      <c r="A154" s="25" t="n"/>
      <c r="B154" s="25" t="n"/>
      <c r="C154" s="25" t="n"/>
      <c r="D154" s="25" t="n"/>
      <c r="E154" s="25" t="n"/>
      <c r="F154" s="30">
        <f>IF(A154="","",COUNTIF(Pedidos!$D$2:$D$301,A154))</f>
        <v/>
      </c>
      <c r="G154" s="27">
        <f>IF(A154="","",SUMIF(Pedidos!$D$2:$D$301,A154,Pedidos!$M$2:$M$301))</f>
        <v/>
      </c>
      <c r="H154" s="31">
        <f>IF(OR(A154="",F154=0),"",_xlfn.MINIFS(Pedidos!$B$2:$B$301,Pedidos!$D$2:$D$301,A154))</f>
        <v/>
      </c>
      <c r="I154" s="31">
        <f>IF(OR(A154="",F154=0),"",_xlfn.MAXIFS(Pedidos!$B$2:$B$301,Pedidos!$D$2:$D$301,A154))</f>
        <v/>
      </c>
      <c r="J154" s="25" t="n"/>
    </row>
    <row r="155">
      <c r="A155" s="25" t="n"/>
      <c r="B155" s="25" t="n"/>
      <c r="C155" s="25" t="n"/>
      <c r="D155" s="25" t="n"/>
      <c r="E155" s="25" t="n"/>
      <c r="F155" s="30">
        <f>IF(A155="","",COUNTIF(Pedidos!$D$2:$D$301,A155))</f>
        <v/>
      </c>
      <c r="G155" s="27">
        <f>IF(A155="","",SUMIF(Pedidos!$D$2:$D$301,A155,Pedidos!$M$2:$M$301))</f>
        <v/>
      </c>
      <c r="H155" s="31">
        <f>IF(OR(A155="",F155=0),"",_xlfn.MINIFS(Pedidos!$B$2:$B$301,Pedidos!$D$2:$D$301,A155))</f>
        <v/>
      </c>
      <c r="I155" s="31">
        <f>IF(OR(A155="",F155=0),"",_xlfn.MAXIFS(Pedidos!$B$2:$B$301,Pedidos!$D$2:$D$301,A155))</f>
        <v/>
      </c>
      <c r="J155" s="25" t="n"/>
    </row>
    <row r="156">
      <c r="A156" s="25" t="n"/>
      <c r="B156" s="25" t="n"/>
      <c r="C156" s="25" t="n"/>
      <c r="D156" s="25" t="n"/>
      <c r="E156" s="25" t="n"/>
      <c r="F156" s="30">
        <f>IF(A156="","",COUNTIF(Pedidos!$D$2:$D$301,A156))</f>
        <v/>
      </c>
      <c r="G156" s="27">
        <f>IF(A156="","",SUMIF(Pedidos!$D$2:$D$301,A156,Pedidos!$M$2:$M$301))</f>
        <v/>
      </c>
      <c r="H156" s="31">
        <f>IF(OR(A156="",F156=0),"",_xlfn.MINIFS(Pedidos!$B$2:$B$301,Pedidos!$D$2:$D$301,A156))</f>
        <v/>
      </c>
      <c r="I156" s="31">
        <f>IF(OR(A156="",F156=0),"",_xlfn.MAXIFS(Pedidos!$B$2:$B$301,Pedidos!$D$2:$D$301,A156))</f>
        <v/>
      </c>
      <c r="J156" s="25" t="n"/>
    </row>
    <row r="157">
      <c r="A157" s="25" t="n"/>
      <c r="B157" s="25" t="n"/>
      <c r="C157" s="25" t="n"/>
      <c r="D157" s="25" t="n"/>
      <c r="E157" s="25" t="n"/>
      <c r="F157" s="30">
        <f>IF(A157="","",COUNTIF(Pedidos!$D$2:$D$301,A157))</f>
        <v/>
      </c>
      <c r="G157" s="27">
        <f>IF(A157="","",SUMIF(Pedidos!$D$2:$D$301,A157,Pedidos!$M$2:$M$301))</f>
        <v/>
      </c>
      <c r="H157" s="31">
        <f>IF(OR(A157="",F157=0),"",_xlfn.MINIFS(Pedidos!$B$2:$B$301,Pedidos!$D$2:$D$301,A157))</f>
        <v/>
      </c>
      <c r="I157" s="31">
        <f>IF(OR(A157="",F157=0),"",_xlfn.MAXIFS(Pedidos!$B$2:$B$301,Pedidos!$D$2:$D$301,A157))</f>
        <v/>
      </c>
      <c r="J157" s="25" t="n"/>
    </row>
    <row r="158">
      <c r="A158" s="25" t="n"/>
      <c r="B158" s="25" t="n"/>
      <c r="C158" s="25" t="n"/>
      <c r="D158" s="25" t="n"/>
      <c r="E158" s="25" t="n"/>
      <c r="F158" s="30">
        <f>IF(A158="","",COUNTIF(Pedidos!$D$2:$D$301,A158))</f>
        <v/>
      </c>
      <c r="G158" s="27">
        <f>IF(A158="","",SUMIF(Pedidos!$D$2:$D$301,A158,Pedidos!$M$2:$M$301))</f>
        <v/>
      </c>
      <c r="H158" s="31">
        <f>IF(OR(A158="",F158=0),"",_xlfn.MINIFS(Pedidos!$B$2:$B$301,Pedidos!$D$2:$D$301,A158))</f>
        <v/>
      </c>
      <c r="I158" s="31">
        <f>IF(OR(A158="",F158=0),"",_xlfn.MAXIFS(Pedidos!$B$2:$B$301,Pedidos!$D$2:$D$301,A158))</f>
        <v/>
      </c>
      <c r="J158" s="25" t="n"/>
    </row>
    <row r="159">
      <c r="A159" s="25" t="n"/>
      <c r="B159" s="25" t="n"/>
      <c r="C159" s="25" t="n"/>
      <c r="D159" s="25" t="n"/>
      <c r="E159" s="25" t="n"/>
      <c r="F159" s="30">
        <f>IF(A159="","",COUNTIF(Pedidos!$D$2:$D$301,A159))</f>
        <v/>
      </c>
      <c r="G159" s="27">
        <f>IF(A159="","",SUMIF(Pedidos!$D$2:$D$301,A159,Pedidos!$M$2:$M$301))</f>
        <v/>
      </c>
      <c r="H159" s="31">
        <f>IF(OR(A159="",F159=0),"",_xlfn.MINIFS(Pedidos!$B$2:$B$301,Pedidos!$D$2:$D$301,A159))</f>
        <v/>
      </c>
      <c r="I159" s="31">
        <f>IF(OR(A159="",F159=0),"",_xlfn.MAXIFS(Pedidos!$B$2:$B$301,Pedidos!$D$2:$D$301,A159))</f>
        <v/>
      </c>
      <c r="J159" s="25" t="n"/>
    </row>
    <row r="160">
      <c r="A160" s="25" t="n"/>
      <c r="B160" s="25" t="n"/>
      <c r="C160" s="25" t="n"/>
      <c r="D160" s="25" t="n"/>
      <c r="E160" s="25" t="n"/>
      <c r="F160" s="30">
        <f>IF(A160="","",COUNTIF(Pedidos!$D$2:$D$301,A160))</f>
        <v/>
      </c>
      <c r="G160" s="27">
        <f>IF(A160="","",SUMIF(Pedidos!$D$2:$D$301,A160,Pedidos!$M$2:$M$301))</f>
        <v/>
      </c>
      <c r="H160" s="31">
        <f>IF(OR(A160="",F160=0),"",_xlfn.MINIFS(Pedidos!$B$2:$B$301,Pedidos!$D$2:$D$301,A160))</f>
        <v/>
      </c>
      <c r="I160" s="31">
        <f>IF(OR(A160="",F160=0),"",_xlfn.MAXIFS(Pedidos!$B$2:$B$301,Pedidos!$D$2:$D$301,A160))</f>
        <v/>
      </c>
      <c r="J160" s="25" t="n"/>
    </row>
    <row r="161">
      <c r="A161" s="25" t="n"/>
      <c r="B161" s="25" t="n"/>
      <c r="C161" s="25" t="n"/>
      <c r="D161" s="25" t="n"/>
      <c r="E161" s="25" t="n"/>
      <c r="F161" s="30">
        <f>IF(A161="","",COUNTIF(Pedidos!$D$2:$D$301,A161))</f>
        <v/>
      </c>
      <c r="G161" s="27">
        <f>IF(A161="","",SUMIF(Pedidos!$D$2:$D$301,A161,Pedidos!$M$2:$M$301))</f>
        <v/>
      </c>
      <c r="H161" s="31">
        <f>IF(OR(A161="",F161=0),"",_xlfn.MINIFS(Pedidos!$B$2:$B$301,Pedidos!$D$2:$D$301,A161))</f>
        <v/>
      </c>
      <c r="I161" s="31">
        <f>IF(OR(A161="",F161=0),"",_xlfn.MAXIFS(Pedidos!$B$2:$B$301,Pedidos!$D$2:$D$301,A161))</f>
        <v/>
      </c>
      <c r="J161" s="25" t="n"/>
    </row>
    <row r="162">
      <c r="A162" s="25" t="n"/>
      <c r="B162" s="25" t="n"/>
      <c r="C162" s="25" t="n"/>
      <c r="D162" s="25" t="n"/>
      <c r="E162" s="25" t="n"/>
      <c r="F162" s="30">
        <f>IF(A162="","",COUNTIF(Pedidos!$D$2:$D$301,A162))</f>
        <v/>
      </c>
      <c r="G162" s="27">
        <f>IF(A162="","",SUMIF(Pedidos!$D$2:$D$301,A162,Pedidos!$M$2:$M$301))</f>
        <v/>
      </c>
      <c r="H162" s="31">
        <f>IF(OR(A162="",F162=0),"",_xlfn.MINIFS(Pedidos!$B$2:$B$301,Pedidos!$D$2:$D$301,A162))</f>
        <v/>
      </c>
      <c r="I162" s="31">
        <f>IF(OR(A162="",F162=0),"",_xlfn.MAXIFS(Pedidos!$B$2:$B$301,Pedidos!$D$2:$D$301,A162))</f>
        <v/>
      </c>
      <c r="J162" s="25" t="n"/>
    </row>
    <row r="163">
      <c r="A163" s="25" t="n"/>
      <c r="B163" s="25" t="n"/>
      <c r="C163" s="25" t="n"/>
      <c r="D163" s="25" t="n"/>
      <c r="E163" s="25" t="n"/>
      <c r="F163" s="30">
        <f>IF(A163="","",COUNTIF(Pedidos!$D$2:$D$301,A163))</f>
        <v/>
      </c>
      <c r="G163" s="27">
        <f>IF(A163="","",SUMIF(Pedidos!$D$2:$D$301,A163,Pedidos!$M$2:$M$301))</f>
        <v/>
      </c>
      <c r="H163" s="31">
        <f>IF(OR(A163="",F163=0),"",_xlfn.MINIFS(Pedidos!$B$2:$B$301,Pedidos!$D$2:$D$301,A163))</f>
        <v/>
      </c>
      <c r="I163" s="31">
        <f>IF(OR(A163="",F163=0),"",_xlfn.MAXIFS(Pedidos!$B$2:$B$301,Pedidos!$D$2:$D$301,A163))</f>
        <v/>
      </c>
      <c r="J163" s="25" t="n"/>
    </row>
    <row r="164">
      <c r="A164" s="25" t="n"/>
      <c r="B164" s="25" t="n"/>
      <c r="C164" s="25" t="n"/>
      <c r="D164" s="25" t="n"/>
      <c r="E164" s="25" t="n"/>
      <c r="F164" s="30">
        <f>IF(A164="","",COUNTIF(Pedidos!$D$2:$D$301,A164))</f>
        <v/>
      </c>
      <c r="G164" s="27">
        <f>IF(A164="","",SUMIF(Pedidos!$D$2:$D$301,A164,Pedidos!$M$2:$M$301))</f>
        <v/>
      </c>
      <c r="H164" s="31">
        <f>IF(OR(A164="",F164=0),"",_xlfn.MINIFS(Pedidos!$B$2:$B$301,Pedidos!$D$2:$D$301,A164))</f>
        <v/>
      </c>
      <c r="I164" s="31">
        <f>IF(OR(A164="",F164=0),"",_xlfn.MAXIFS(Pedidos!$B$2:$B$301,Pedidos!$D$2:$D$301,A164))</f>
        <v/>
      </c>
      <c r="J164" s="25" t="n"/>
    </row>
    <row r="165">
      <c r="A165" s="25" t="n"/>
      <c r="B165" s="25" t="n"/>
      <c r="C165" s="25" t="n"/>
      <c r="D165" s="25" t="n"/>
      <c r="E165" s="25" t="n"/>
      <c r="F165" s="30">
        <f>IF(A165="","",COUNTIF(Pedidos!$D$2:$D$301,A165))</f>
        <v/>
      </c>
      <c r="G165" s="27">
        <f>IF(A165="","",SUMIF(Pedidos!$D$2:$D$301,A165,Pedidos!$M$2:$M$301))</f>
        <v/>
      </c>
      <c r="H165" s="31">
        <f>IF(OR(A165="",F165=0),"",_xlfn.MINIFS(Pedidos!$B$2:$B$301,Pedidos!$D$2:$D$301,A165))</f>
        <v/>
      </c>
      <c r="I165" s="31">
        <f>IF(OR(A165="",F165=0),"",_xlfn.MAXIFS(Pedidos!$B$2:$B$301,Pedidos!$D$2:$D$301,A165))</f>
        <v/>
      </c>
      <c r="J165" s="25" t="n"/>
    </row>
    <row r="166">
      <c r="A166" s="25" t="n"/>
      <c r="B166" s="25" t="n"/>
      <c r="C166" s="25" t="n"/>
      <c r="D166" s="25" t="n"/>
      <c r="E166" s="25" t="n"/>
      <c r="F166" s="30">
        <f>IF(A166="","",COUNTIF(Pedidos!$D$2:$D$301,A166))</f>
        <v/>
      </c>
      <c r="G166" s="27">
        <f>IF(A166="","",SUMIF(Pedidos!$D$2:$D$301,A166,Pedidos!$M$2:$M$301))</f>
        <v/>
      </c>
      <c r="H166" s="31">
        <f>IF(OR(A166="",F166=0),"",_xlfn.MINIFS(Pedidos!$B$2:$B$301,Pedidos!$D$2:$D$301,A166))</f>
        <v/>
      </c>
      <c r="I166" s="31">
        <f>IF(OR(A166="",F166=0),"",_xlfn.MAXIFS(Pedidos!$B$2:$B$301,Pedidos!$D$2:$D$301,A166))</f>
        <v/>
      </c>
      <c r="J166" s="25" t="n"/>
    </row>
    <row r="167">
      <c r="A167" s="25" t="n"/>
      <c r="B167" s="25" t="n"/>
      <c r="C167" s="25" t="n"/>
      <c r="D167" s="25" t="n"/>
      <c r="E167" s="25" t="n"/>
      <c r="F167" s="30">
        <f>IF(A167="","",COUNTIF(Pedidos!$D$2:$D$301,A167))</f>
        <v/>
      </c>
      <c r="G167" s="27">
        <f>IF(A167="","",SUMIF(Pedidos!$D$2:$D$301,A167,Pedidos!$M$2:$M$301))</f>
        <v/>
      </c>
      <c r="H167" s="31">
        <f>IF(OR(A167="",F167=0),"",_xlfn.MINIFS(Pedidos!$B$2:$B$301,Pedidos!$D$2:$D$301,A167))</f>
        <v/>
      </c>
      <c r="I167" s="31">
        <f>IF(OR(A167="",F167=0),"",_xlfn.MAXIFS(Pedidos!$B$2:$B$301,Pedidos!$D$2:$D$301,A167))</f>
        <v/>
      </c>
      <c r="J167" s="25" t="n"/>
    </row>
    <row r="168">
      <c r="A168" s="25" t="n"/>
      <c r="B168" s="25" t="n"/>
      <c r="C168" s="25" t="n"/>
      <c r="D168" s="25" t="n"/>
      <c r="E168" s="25" t="n"/>
      <c r="F168" s="30">
        <f>IF(A168="","",COUNTIF(Pedidos!$D$2:$D$301,A168))</f>
        <v/>
      </c>
      <c r="G168" s="27">
        <f>IF(A168="","",SUMIF(Pedidos!$D$2:$D$301,A168,Pedidos!$M$2:$M$301))</f>
        <v/>
      </c>
      <c r="H168" s="31">
        <f>IF(OR(A168="",F168=0),"",_xlfn.MINIFS(Pedidos!$B$2:$B$301,Pedidos!$D$2:$D$301,A168))</f>
        <v/>
      </c>
      <c r="I168" s="31">
        <f>IF(OR(A168="",F168=0),"",_xlfn.MAXIFS(Pedidos!$B$2:$B$301,Pedidos!$D$2:$D$301,A168))</f>
        <v/>
      </c>
      <c r="J168" s="25" t="n"/>
    </row>
    <row r="169">
      <c r="A169" s="25" t="n"/>
      <c r="B169" s="25" t="n"/>
      <c r="C169" s="25" t="n"/>
      <c r="D169" s="25" t="n"/>
      <c r="E169" s="25" t="n"/>
      <c r="F169" s="30">
        <f>IF(A169="","",COUNTIF(Pedidos!$D$2:$D$301,A169))</f>
        <v/>
      </c>
      <c r="G169" s="27">
        <f>IF(A169="","",SUMIF(Pedidos!$D$2:$D$301,A169,Pedidos!$M$2:$M$301))</f>
        <v/>
      </c>
      <c r="H169" s="31">
        <f>IF(OR(A169="",F169=0),"",_xlfn.MINIFS(Pedidos!$B$2:$B$301,Pedidos!$D$2:$D$301,A169))</f>
        <v/>
      </c>
      <c r="I169" s="31">
        <f>IF(OR(A169="",F169=0),"",_xlfn.MAXIFS(Pedidos!$B$2:$B$301,Pedidos!$D$2:$D$301,A169))</f>
        <v/>
      </c>
      <c r="J169" s="25" t="n"/>
    </row>
    <row r="170">
      <c r="A170" s="25" t="n"/>
      <c r="B170" s="25" t="n"/>
      <c r="C170" s="25" t="n"/>
      <c r="D170" s="25" t="n"/>
      <c r="E170" s="25" t="n"/>
      <c r="F170" s="30">
        <f>IF(A170="","",COUNTIF(Pedidos!$D$2:$D$301,A170))</f>
        <v/>
      </c>
      <c r="G170" s="27">
        <f>IF(A170="","",SUMIF(Pedidos!$D$2:$D$301,A170,Pedidos!$M$2:$M$301))</f>
        <v/>
      </c>
      <c r="H170" s="31">
        <f>IF(OR(A170="",F170=0),"",_xlfn.MINIFS(Pedidos!$B$2:$B$301,Pedidos!$D$2:$D$301,A170))</f>
        <v/>
      </c>
      <c r="I170" s="31">
        <f>IF(OR(A170="",F170=0),"",_xlfn.MAXIFS(Pedidos!$B$2:$B$301,Pedidos!$D$2:$D$301,A170))</f>
        <v/>
      </c>
      <c r="J170" s="25" t="n"/>
    </row>
    <row r="171">
      <c r="A171" s="25" t="n"/>
      <c r="B171" s="25" t="n"/>
      <c r="C171" s="25" t="n"/>
      <c r="D171" s="25" t="n"/>
      <c r="E171" s="25" t="n"/>
      <c r="F171" s="30">
        <f>IF(A171="","",COUNTIF(Pedidos!$D$2:$D$301,A171))</f>
        <v/>
      </c>
      <c r="G171" s="27">
        <f>IF(A171="","",SUMIF(Pedidos!$D$2:$D$301,A171,Pedidos!$M$2:$M$301))</f>
        <v/>
      </c>
      <c r="H171" s="31">
        <f>IF(OR(A171="",F171=0),"",_xlfn.MINIFS(Pedidos!$B$2:$B$301,Pedidos!$D$2:$D$301,A171))</f>
        <v/>
      </c>
      <c r="I171" s="31">
        <f>IF(OR(A171="",F171=0),"",_xlfn.MAXIFS(Pedidos!$B$2:$B$301,Pedidos!$D$2:$D$301,A171))</f>
        <v/>
      </c>
      <c r="J171" s="25" t="n"/>
    </row>
    <row r="172">
      <c r="A172" s="25" t="n"/>
      <c r="B172" s="25" t="n"/>
      <c r="C172" s="25" t="n"/>
      <c r="D172" s="25" t="n"/>
      <c r="E172" s="25" t="n"/>
      <c r="F172" s="30">
        <f>IF(A172="","",COUNTIF(Pedidos!$D$2:$D$301,A172))</f>
        <v/>
      </c>
      <c r="G172" s="27">
        <f>IF(A172="","",SUMIF(Pedidos!$D$2:$D$301,A172,Pedidos!$M$2:$M$301))</f>
        <v/>
      </c>
      <c r="H172" s="31">
        <f>IF(OR(A172="",F172=0),"",_xlfn.MINIFS(Pedidos!$B$2:$B$301,Pedidos!$D$2:$D$301,A172))</f>
        <v/>
      </c>
      <c r="I172" s="31">
        <f>IF(OR(A172="",F172=0),"",_xlfn.MAXIFS(Pedidos!$B$2:$B$301,Pedidos!$D$2:$D$301,A172))</f>
        <v/>
      </c>
      <c r="J172" s="25" t="n"/>
    </row>
    <row r="173">
      <c r="A173" s="25" t="n"/>
      <c r="B173" s="25" t="n"/>
      <c r="C173" s="25" t="n"/>
      <c r="D173" s="25" t="n"/>
      <c r="E173" s="25" t="n"/>
      <c r="F173" s="30">
        <f>IF(A173="","",COUNTIF(Pedidos!$D$2:$D$301,A173))</f>
        <v/>
      </c>
      <c r="G173" s="27">
        <f>IF(A173="","",SUMIF(Pedidos!$D$2:$D$301,A173,Pedidos!$M$2:$M$301))</f>
        <v/>
      </c>
      <c r="H173" s="31">
        <f>IF(OR(A173="",F173=0),"",_xlfn.MINIFS(Pedidos!$B$2:$B$301,Pedidos!$D$2:$D$301,A173))</f>
        <v/>
      </c>
      <c r="I173" s="31">
        <f>IF(OR(A173="",F173=0),"",_xlfn.MAXIFS(Pedidos!$B$2:$B$301,Pedidos!$D$2:$D$301,A173))</f>
        <v/>
      </c>
      <c r="J173" s="25" t="n"/>
    </row>
    <row r="174">
      <c r="A174" s="25" t="n"/>
      <c r="B174" s="25" t="n"/>
      <c r="C174" s="25" t="n"/>
      <c r="D174" s="25" t="n"/>
      <c r="E174" s="25" t="n"/>
      <c r="F174" s="30">
        <f>IF(A174="","",COUNTIF(Pedidos!$D$2:$D$301,A174))</f>
        <v/>
      </c>
      <c r="G174" s="27">
        <f>IF(A174="","",SUMIF(Pedidos!$D$2:$D$301,A174,Pedidos!$M$2:$M$301))</f>
        <v/>
      </c>
      <c r="H174" s="31">
        <f>IF(OR(A174="",F174=0),"",_xlfn.MINIFS(Pedidos!$B$2:$B$301,Pedidos!$D$2:$D$301,A174))</f>
        <v/>
      </c>
      <c r="I174" s="31">
        <f>IF(OR(A174="",F174=0),"",_xlfn.MAXIFS(Pedidos!$B$2:$B$301,Pedidos!$D$2:$D$301,A174))</f>
        <v/>
      </c>
      <c r="J174" s="25" t="n"/>
    </row>
    <row r="175">
      <c r="A175" s="25" t="n"/>
      <c r="B175" s="25" t="n"/>
      <c r="C175" s="25" t="n"/>
      <c r="D175" s="25" t="n"/>
      <c r="E175" s="25" t="n"/>
      <c r="F175" s="30">
        <f>IF(A175="","",COUNTIF(Pedidos!$D$2:$D$301,A175))</f>
        <v/>
      </c>
      <c r="G175" s="27">
        <f>IF(A175="","",SUMIF(Pedidos!$D$2:$D$301,A175,Pedidos!$M$2:$M$301))</f>
        <v/>
      </c>
      <c r="H175" s="31">
        <f>IF(OR(A175="",F175=0),"",_xlfn.MINIFS(Pedidos!$B$2:$B$301,Pedidos!$D$2:$D$301,A175))</f>
        <v/>
      </c>
      <c r="I175" s="31">
        <f>IF(OR(A175="",F175=0),"",_xlfn.MAXIFS(Pedidos!$B$2:$B$301,Pedidos!$D$2:$D$301,A175))</f>
        <v/>
      </c>
      <c r="J175" s="25" t="n"/>
    </row>
    <row r="176">
      <c r="A176" s="25" t="n"/>
      <c r="B176" s="25" t="n"/>
      <c r="C176" s="25" t="n"/>
      <c r="D176" s="25" t="n"/>
      <c r="E176" s="25" t="n"/>
      <c r="F176" s="30">
        <f>IF(A176="","",COUNTIF(Pedidos!$D$2:$D$301,A176))</f>
        <v/>
      </c>
      <c r="G176" s="27">
        <f>IF(A176="","",SUMIF(Pedidos!$D$2:$D$301,A176,Pedidos!$M$2:$M$301))</f>
        <v/>
      </c>
      <c r="H176" s="31">
        <f>IF(OR(A176="",F176=0),"",_xlfn.MINIFS(Pedidos!$B$2:$B$301,Pedidos!$D$2:$D$301,A176))</f>
        <v/>
      </c>
      <c r="I176" s="31">
        <f>IF(OR(A176="",F176=0),"",_xlfn.MAXIFS(Pedidos!$B$2:$B$301,Pedidos!$D$2:$D$301,A176))</f>
        <v/>
      </c>
      <c r="J176" s="25" t="n"/>
    </row>
    <row r="177">
      <c r="A177" s="25" t="n"/>
      <c r="B177" s="25" t="n"/>
      <c r="C177" s="25" t="n"/>
      <c r="D177" s="25" t="n"/>
      <c r="E177" s="25" t="n"/>
      <c r="F177" s="30">
        <f>IF(A177="","",COUNTIF(Pedidos!$D$2:$D$301,A177))</f>
        <v/>
      </c>
      <c r="G177" s="27">
        <f>IF(A177="","",SUMIF(Pedidos!$D$2:$D$301,A177,Pedidos!$M$2:$M$301))</f>
        <v/>
      </c>
      <c r="H177" s="31">
        <f>IF(OR(A177="",F177=0),"",_xlfn.MINIFS(Pedidos!$B$2:$B$301,Pedidos!$D$2:$D$301,A177))</f>
        <v/>
      </c>
      <c r="I177" s="31">
        <f>IF(OR(A177="",F177=0),"",_xlfn.MAXIFS(Pedidos!$B$2:$B$301,Pedidos!$D$2:$D$301,A177))</f>
        <v/>
      </c>
      <c r="J177" s="25" t="n"/>
    </row>
    <row r="178">
      <c r="A178" s="25" t="n"/>
      <c r="B178" s="25" t="n"/>
      <c r="C178" s="25" t="n"/>
      <c r="D178" s="25" t="n"/>
      <c r="E178" s="25" t="n"/>
      <c r="F178" s="30">
        <f>IF(A178="","",COUNTIF(Pedidos!$D$2:$D$301,A178))</f>
        <v/>
      </c>
      <c r="G178" s="27">
        <f>IF(A178="","",SUMIF(Pedidos!$D$2:$D$301,A178,Pedidos!$M$2:$M$301))</f>
        <v/>
      </c>
      <c r="H178" s="31">
        <f>IF(OR(A178="",F178=0),"",_xlfn.MINIFS(Pedidos!$B$2:$B$301,Pedidos!$D$2:$D$301,A178))</f>
        <v/>
      </c>
      <c r="I178" s="31">
        <f>IF(OR(A178="",F178=0),"",_xlfn.MAXIFS(Pedidos!$B$2:$B$301,Pedidos!$D$2:$D$301,A178))</f>
        <v/>
      </c>
      <c r="J178" s="25" t="n"/>
    </row>
    <row r="179">
      <c r="A179" s="25" t="n"/>
      <c r="B179" s="25" t="n"/>
      <c r="C179" s="25" t="n"/>
      <c r="D179" s="25" t="n"/>
      <c r="E179" s="25" t="n"/>
      <c r="F179" s="30">
        <f>IF(A179="","",COUNTIF(Pedidos!$D$2:$D$301,A179))</f>
        <v/>
      </c>
      <c r="G179" s="27">
        <f>IF(A179="","",SUMIF(Pedidos!$D$2:$D$301,A179,Pedidos!$M$2:$M$301))</f>
        <v/>
      </c>
      <c r="H179" s="31">
        <f>IF(OR(A179="",F179=0),"",_xlfn.MINIFS(Pedidos!$B$2:$B$301,Pedidos!$D$2:$D$301,A179))</f>
        <v/>
      </c>
      <c r="I179" s="31">
        <f>IF(OR(A179="",F179=0),"",_xlfn.MAXIFS(Pedidos!$B$2:$B$301,Pedidos!$D$2:$D$301,A179))</f>
        <v/>
      </c>
      <c r="J179" s="25" t="n"/>
    </row>
    <row r="180">
      <c r="A180" s="25" t="n"/>
      <c r="B180" s="25" t="n"/>
      <c r="C180" s="25" t="n"/>
      <c r="D180" s="25" t="n"/>
      <c r="E180" s="25" t="n"/>
      <c r="F180" s="30">
        <f>IF(A180="","",COUNTIF(Pedidos!$D$2:$D$301,A180))</f>
        <v/>
      </c>
      <c r="G180" s="27">
        <f>IF(A180="","",SUMIF(Pedidos!$D$2:$D$301,A180,Pedidos!$M$2:$M$301))</f>
        <v/>
      </c>
      <c r="H180" s="31">
        <f>IF(OR(A180="",F180=0),"",_xlfn.MINIFS(Pedidos!$B$2:$B$301,Pedidos!$D$2:$D$301,A180))</f>
        <v/>
      </c>
      <c r="I180" s="31">
        <f>IF(OR(A180="",F180=0),"",_xlfn.MAXIFS(Pedidos!$B$2:$B$301,Pedidos!$D$2:$D$301,A180))</f>
        <v/>
      </c>
      <c r="J180" s="25" t="n"/>
    </row>
    <row r="181">
      <c r="A181" s="25" t="n"/>
      <c r="B181" s="25" t="n"/>
      <c r="C181" s="25" t="n"/>
      <c r="D181" s="25" t="n"/>
      <c r="E181" s="25" t="n"/>
      <c r="F181" s="30">
        <f>IF(A181="","",COUNTIF(Pedidos!$D$2:$D$301,A181))</f>
        <v/>
      </c>
      <c r="G181" s="27">
        <f>IF(A181="","",SUMIF(Pedidos!$D$2:$D$301,A181,Pedidos!$M$2:$M$301))</f>
        <v/>
      </c>
      <c r="H181" s="31">
        <f>IF(OR(A181="",F181=0),"",_xlfn.MINIFS(Pedidos!$B$2:$B$301,Pedidos!$D$2:$D$301,A181))</f>
        <v/>
      </c>
      <c r="I181" s="31">
        <f>IF(OR(A181="",F181=0),"",_xlfn.MAXIFS(Pedidos!$B$2:$B$301,Pedidos!$D$2:$D$301,A181))</f>
        <v/>
      </c>
      <c r="J181" s="25" t="n"/>
    </row>
    <row r="182">
      <c r="A182" s="25" t="n"/>
      <c r="B182" s="25" t="n"/>
      <c r="C182" s="25" t="n"/>
      <c r="D182" s="25" t="n"/>
      <c r="E182" s="25" t="n"/>
      <c r="F182" s="30">
        <f>IF(A182="","",COUNTIF(Pedidos!$D$2:$D$301,A182))</f>
        <v/>
      </c>
      <c r="G182" s="27">
        <f>IF(A182="","",SUMIF(Pedidos!$D$2:$D$301,A182,Pedidos!$M$2:$M$301))</f>
        <v/>
      </c>
      <c r="H182" s="31">
        <f>IF(OR(A182="",F182=0),"",_xlfn.MINIFS(Pedidos!$B$2:$B$301,Pedidos!$D$2:$D$301,A182))</f>
        <v/>
      </c>
      <c r="I182" s="31">
        <f>IF(OR(A182="",F182=0),"",_xlfn.MAXIFS(Pedidos!$B$2:$B$301,Pedidos!$D$2:$D$301,A182))</f>
        <v/>
      </c>
      <c r="J182" s="25" t="n"/>
    </row>
    <row r="183">
      <c r="A183" s="25" t="n"/>
      <c r="B183" s="25" t="n"/>
      <c r="C183" s="25" t="n"/>
      <c r="D183" s="25" t="n"/>
      <c r="E183" s="25" t="n"/>
      <c r="F183" s="30">
        <f>IF(A183="","",COUNTIF(Pedidos!$D$2:$D$301,A183))</f>
        <v/>
      </c>
      <c r="G183" s="27">
        <f>IF(A183="","",SUMIF(Pedidos!$D$2:$D$301,A183,Pedidos!$M$2:$M$301))</f>
        <v/>
      </c>
      <c r="H183" s="31">
        <f>IF(OR(A183="",F183=0),"",_xlfn.MINIFS(Pedidos!$B$2:$B$301,Pedidos!$D$2:$D$301,A183))</f>
        <v/>
      </c>
      <c r="I183" s="31">
        <f>IF(OR(A183="",F183=0),"",_xlfn.MAXIFS(Pedidos!$B$2:$B$301,Pedidos!$D$2:$D$301,A183))</f>
        <v/>
      </c>
      <c r="J183" s="25" t="n"/>
    </row>
    <row r="184">
      <c r="A184" s="25" t="n"/>
      <c r="B184" s="25" t="n"/>
      <c r="C184" s="25" t="n"/>
      <c r="D184" s="25" t="n"/>
      <c r="E184" s="25" t="n"/>
      <c r="F184" s="30">
        <f>IF(A184="","",COUNTIF(Pedidos!$D$2:$D$301,A184))</f>
        <v/>
      </c>
      <c r="G184" s="27">
        <f>IF(A184="","",SUMIF(Pedidos!$D$2:$D$301,A184,Pedidos!$M$2:$M$301))</f>
        <v/>
      </c>
      <c r="H184" s="31">
        <f>IF(OR(A184="",F184=0),"",_xlfn.MINIFS(Pedidos!$B$2:$B$301,Pedidos!$D$2:$D$301,A184))</f>
        <v/>
      </c>
      <c r="I184" s="31">
        <f>IF(OR(A184="",F184=0),"",_xlfn.MAXIFS(Pedidos!$B$2:$B$301,Pedidos!$D$2:$D$301,A184))</f>
        <v/>
      </c>
      <c r="J184" s="25" t="n"/>
    </row>
    <row r="185">
      <c r="A185" s="25" t="n"/>
      <c r="B185" s="25" t="n"/>
      <c r="C185" s="25" t="n"/>
      <c r="D185" s="25" t="n"/>
      <c r="E185" s="25" t="n"/>
      <c r="F185" s="30">
        <f>IF(A185="","",COUNTIF(Pedidos!$D$2:$D$301,A185))</f>
        <v/>
      </c>
      <c r="G185" s="27">
        <f>IF(A185="","",SUMIF(Pedidos!$D$2:$D$301,A185,Pedidos!$M$2:$M$301))</f>
        <v/>
      </c>
      <c r="H185" s="31">
        <f>IF(OR(A185="",F185=0),"",_xlfn.MINIFS(Pedidos!$B$2:$B$301,Pedidos!$D$2:$D$301,A185))</f>
        <v/>
      </c>
      <c r="I185" s="31">
        <f>IF(OR(A185="",F185=0),"",_xlfn.MAXIFS(Pedidos!$B$2:$B$301,Pedidos!$D$2:$D$301,A185))</f>
        <v/>
      </c>
      <c r="J185" s="25" t="n"/>
    </row>
    <row r="186">
      <c r="A186" s="25" t="n"/>
      <c r="B186" s="25" t="n"/>
      <c r="C186" s="25" t="n"/>
      <c r="D186" s="25" t="n"/>
      <c r="E186" s="25" t="n"/>
      <c r="F186" s="30">
        <f>IF(A186="","",COUNTIF(Pedidos!$D$2:$D$301,A186))</f>
        <v/>
      </c>
      <c r="G186" s="27">
        <f>IF(A186="","",SUMIF(Pedidos!$D$2:$D$301,A186,Pedidos!$M$2:$M$301))</f>
        <v/>
      </c>
      <c r="H186" s="31">
        <f>IF(OR(A186="",F186=0),"",_xlfn.MINIFS(Pedidos!$B$2:$B$301,Pedidos!$D$2:$D$301,A186))</f>
        <v/>
      </c>
      <c r="I186" s="31">
        <f>IF(OR(A186="",F186=0),"",_xlfn.MAXIFS(Pedidos!$B$2:$B$301,Pedidos!$D$2:$D$301,A186))</f>
        <v/>
      </c>
      <c r="J186" s="25" t="n"/>
    </row>
    <row r="187">
      <c r="A187" s="25" t="n"/>
      <c r="B187" s="25" t="n"/>
      <c r="C187" s="25" t="n"/>
      <c r="D187" s="25" t="n"/>
      <c r="E187" s="25" t="n"/>
      <c r="F187" s="30">
        <f>IF(A187="","",COUNTIF(Pedidos!$D$2:$D$301,A187))</f>
        <v/>
      </c>
      <c r="G187" s="27">
        <f>IF(A187="","",SUMIF(Pedidos!$D$2:$D$301,A187,Pedidos!$M$2:$M$301))</f>
        <v/>
      </c>
      <c r="H187" s="31">
        <f>IF(OR(A187="",F187=0),"",_xlfn.MINIFS(Pedidos!$B$2:$B$301,Pedidos!$D$2:$D$301,A187))</f>
        <v/>
      </c>
      <c r="I187" s="31">
        <f>IF(OR(A187="",F187=0),"",_xlfn.MAXIFS(Pedidos!$B$2:$B$301,Pedidos!$D$2:$D$301,A187))</f>
        <v/>
      </c>
      <c r="J187" s="25" t="n"/>
    </row>
    <row r="188">
      <c r="A188" s="25" t="n"/>
      <c r="B188" s="25" t="n"/>
      <c r="C188" s="25" t="n"/>
      <c r="D188" s="25" t="n"/>
      <c r="E188" s="25" t="n"/>
      <c r="F188" s="30">
        <f>IF(A188="","",COUNTIF(Pedidos!$D$2:$D$301,A188))</f>
        <v/>
      </c>
      <c r="G188" s="27">
        <f>IF(A188="","",SUMIF(Pedidos!$D$2:$D$301,A188,Pedidos!$M$2:$M$301))</f>
        <v/>
      </c>
      <c r="H188" s="31">
        <f>IF(OR(A188="",F188=0),"",_xlfn.MINIFS(Pedidos!$B$2:$B$301,Pedidos!$D$2:$D$301,A188))</f>
        <v/>
      </c>
      <c r="I188" s="31">
        <f>IF(OR(A188="",F188=0),"",_xlfn.MAXIFS(Pedidos!$B$2:$B$301,Pedidos!$D$2:$D$301,A188))</f>
        <v/>
      </c>
      <c r="J188" s="25" t="n"/>
    </row>
    <row r="189">
      <c r="A189" s="25" t="n"/>
      <c r="B189" s="25" t="n"/>
      <c r="C189" s="25" t="n"/>
      <c r="D189" s="25" t="n"/>
      <c r="E189" s="25" t="n"/>
      <c r="F189" s="30">
        <f>IF(A189="","",COUNTIF(Pedidos!$D$2:$D$301,A189))</f>
        <v/>
      </c>
      <c r="G189" s="27">
        <f>IF(A189="","",SUMIF(Pedidos!$D$2:$D$301,A189,Pedidos!$M$2:$M$301))</f>
        <v/>
      </c>
      <c r="H189" s="31">
        <f>IF(OR(A189="",F189=0),"",_xlfn.MINIFS(Pedidos!$B$2:$B$301,Pedidos!$D$2:$D$301,A189))</f>
        <v/>
      </c>
      <c r="I189" s="31">
        <f>IF(OR(A189="",F189=0),"",_xlfn.MAXIFS(Pedidos!$B$2:$B$301,Pedidos!$D$2:$D$301,A189))</f>
        <v/>
      </c>
      <c r="J189" s="25" t="n"/>
    </row>
    <row r="190">
      <c r="A190" s="25" t="n"/>
      <c r="B190" s="25" t="n"/>
      <c r="C190" s="25" t="n"/>
      <c r="D190" s="25" t="n"/>
      <c r="E190" s="25" t="n"/>
      <c r="F190" s="30">
        <f>IF(A190="","",COUNTIF(Pedidos!$D$2:$D$301,A190))</f>
        <v/>
      </c>
      <c r="G190" s="27">
        <f>IF(A190="","",SUMIF(Pedidos!$D$2:$D$301,A190,Pedidos!$M$2:$M$301))</f>
        <v/>
      </c>
      <c r="H190" s="31">
        <f>IF(OR(A190="",F190=0),"",_xlfn.MINIFS(Pedidos!$B$2:$B$301,Pedidos!$D$2:$D$301,A190))</f>
        <v/>
      </c>
      <c r="I190" s="31">
        <f>IF(OR(A190="",F190=0),"",_xlfn.MAXIFS(Pedidos!$B$2:$B$301,Pedidos!$D$2:$D$301,A190))</f>
        <v/>
      </c>
      <c r="J190" s="25" t="n"/>
    </row>
    <row r="191">
      <c r="A191" s="25" t="n"/>
      <c r="B191" s="25" t="n"/>
      <c r="C191" s="25" t="n"/>
      <c r="D191" s="25" t="n"/>
      <c r="E191" s="25" t="n"/>
      <c r="F191" s="30">
        <f>IF(A191="","",COUNTIF(Pedidos!$D$2:$D$301,A191))</f>
        <v/>
      </c>
      <c r="G191" s="27">
        <f>IF(A191="","",SUMIF(Pedidos!$D$2:$D$301,A191,Pedidos!$M$2:$M$301))</f>
        <v/>
      </c>
      <c r="H191" s="31">
        <f>IF(OR(A191="",F191=0),"",_xlfn.MINIFS(Pedidos!$B$2:$B$301,Pedidos!$D$2:$D$301,A191))</f>
        <v/>
      </c>
      <c r="I191" s="31">
        <f>IF(OR(A191="",F191=0),"",_xlfn.MAXIFS(Pedidos!$B$2:$B$301,Pedidos!$D$2:$D$301,A191))</f>
        <v/>
      </c>
      <c r="J191" s="25" t="n"/>
    </row>
    <row r="192">
      <c r="A192" s="25" t="n"/>
      <c r="B192" s="25" t="n"/>
      <c r="C192" s="25" t="n"/>
      <c r="D192" s="25" t="n"/>
      <c r="E192" s="25" t="n"/>
      <c r="F192" s="30">
        <f>IF(A192="","",COUNTIF(Pedidos!$D$2:$D$301,A192))</f>
        <v/>
      </c>
      <c r="G192" s="27">
        <f>IF(A192="","",SUMIF(Pedidos!$D$2:$D$301,A192,Pedidos!$M$2:$M$301))</f>
        <v/>
      </c>
      <c r="H192" s="31">
        <f>IF(OR(A192="",F192=0),"",_xlfn.MINIFS(Pedidos!$B$2:$B$301,Pedidos!$D$2:$D$301,A192))</f>
        <v/>
      </c>
      <c r="I192" s="31">
        <f>IF(OR(A192="",F192=0),"",_xlfn.MAXIFS(Pedidos!$B$2:$B$301,Pedidos!$D$2:$D$301,A192))</f>
        <v/>
      </c>
      <c r="J192" s="25" t="n"/>
    </row>
    <row r="193">
      <c r="A193" s="25" t="n"/>
      <c r="B193" s="25" t="n"/>
      <c r="C193" s="25" t="n"/>
      <c r="D193" s="25" t="n"/>
      <c r="E193" s="25" t="n"/>
      <c r="F193" s="30">
        <f>IF(A193="","",COUNTIF(Pedidos!$D$2:$D$301,A193))</f>
        <v/>
      </c>
      <c r="G193" s="27">
        <f>IF(A193="","",SUMIF(Pedidos!$D$2:$D$301,A193,Pedidos!$M$2:$M$301))</f>
        <v/>
      </c>
      <c r="H193" s="31">
        <f>IF(OR(A193="",F193=0),"",_xlfn.MINIFS(Pedidos!$B$2:$B$301,Pedidos!$D$2:$D$301,A193))</f>
        <v/>
      </c>
      <c r="I193" s="31">
        <f>IF(OR(A193="",F193=0),"",_xlfn.MAXIFS(Pedidos!$B$2:$B$301,Pedidos!$D$2:$D$301,A193))</f>
        <v/>
      </c>
      <c r="J193" s="25" t="n"/>
    </row>
    <row r="194">
      <c r="A194" s="25" t="n"/>
      <c r="B194" s="25" t="n"/>
      <c r="C194" s="25" t="n"/>
      <c r="D194" s="25" t="n"/>
      <c r="E194" s="25" t="n"/>
      <c r="F194" s="30">
        <f>IF(A194="","",COUNTIF(Pedidos!$D$2:$D$301,A194))</f>
        <v/>
      </c>
      <c r="G194" s="27">
        <f>IF(A194="","",SUMIF(Pedidos!$D$2:$D$301,A194,Pedidos!$M$2:$M$301))</f>
        <v/>
      </c>
      <c r="H194" s="31">
        <f>IF(OR(A194="",F194=0),"",_xlfn.MINIFS(Pedidos!$B$2:$B$301,Pedidos!$D$2:$D$301,A194))</f>
        <v/>
      </c>
      <c r="I194" s="31">
        <f>IF(OR(A194="",F194=0),"",_xlfn.MAXIFS(Pedidos!$B$2:$B$301,Pedidos!$D$2:$D$301,A194))</f>
        <v/>
      </c>
      <c r="J194" s="25" t="n"/>
    </row>
    <row r="195">
      <c r="A195" s="25" t="n"/>
      <c r="B195" s="25" t="n"/>
      <c r="C195" s="25" t="n"/>
      <c r="D195" s="25" t="n"/>
      <c r="E195" s="25" t="n"/>
      <c r="F195" s="30">
        <f>IF(A195="","",COUNTIF(Pedidos!$D$2:$D$301,A195))</f>
        <v/>
      </c>
      <c r="G195" s="27">
        <f>IF(A195="","",SUMIF(Pedidos!$D$2:$D$301,A195,Pedidos!$M$2:$M$301))</f>
        <v/>
      </c>
      <c r="H195" s="31">
        <f>IF(OR(A195="",F195=0),"",_xlfn.MINIFS(Pedidos!$B$2:$B$301,Pedidos!$D$2:$D$301,A195))</f>
        <v/>
      </c>
      <c r="I195" s="31">
        <f>IF(OR(A195="",F195=0),"",_xlfn.MAXIFS(Pedidos!$B$2:$B$301,Pedidos!$D$2:$D$301,A195))</f>
        <v/>
      </c>
      <c r="J195" s="25" t="n"/>
    </row>
    <row r="196">
      <c r="A196" s="25" t="n"/>
      <c r="B196" s="25" t="n"/>
      <c r="C196" s="25" t="n"/>
      <c r="D196" s="25" t="n"/>
      <c r="E196" s="25" t="n"/>
      <c r="F196" s="30">
        <f>IF(A196="","",COUNTIF(Pedidos!$D$2:$D$301,A196))</f>
        <v/>
      </c>
      <c r="G196" s="27">
        <f>IF(A196="","",SUMIF(Pedidos!$D$2:$D$301,A196,Pedidos!$M$2:$M$301))</f>
        <v/>
      </c>
      <c r="H196" s="31">
        <f>IF(OR(A196="",F196=0),"",_xlfn.MINIFS(Pedidos!$B$2:$B$301,Pedidos!$D$2:$D$301,A196))</f>
        <v/>
      </c>
      <c r="I196" s="31">
        <f>IF(OR(A196="",F196=0),"",_xlfn.MAXIFS(Pedidos!$B$2:$B$301,Pedidos!$D$2:$D$301,A196))</f>
        <v/>
      </c>
      <c r="J196" s="25" t="n"/>
    </row>
    <row r="197">
      <c r="A197" s="25" t="n"/>
      <c r="B197" s="25" t="n"/>
      <c r="C197" s="25" t="n"/>
      <c r="D197" s="25" t="n"/>
      <c r="E197" s="25" t="n"/>
      <c r="F197" s="30">
        <f>IF(A197="","",COUNTIF(Pedidos!$D$2:$D$301,A197))</f>
        <v/>
      </c>
      <c r="G197" s="27">
        <f>IF(A197="","",SUMIF(Pedidos!$D$2:$D$301,A197,Pedidos!$M$2:$M$301))</f>
        <v/>
      </c>
      <c r="H197" s="31">
        <f>IF(OR(A197="",F197=0),"",_xlfn.MINIFS(Pedidos!$B$2:$B$301,Pedidos!$D$2:$D$301,A197))</f>
        <v/>
      </c>
      <c r="I197" s="31">
        <f>IF(OR(A197="",F197=0),"",_xlfn.MAXIFS(Pedidos!$B$2:$B$301,Pedidos!$D$2:$D$301,A197))</f>
        <v/>
      </c>
      <c r="J197" s="25" t="n"/>
    </row>
    <row r="198">
      <c r="A198" s="25" t="n"/>
      <c r="B198" s="25" t="n"/>
      <c r="C198" s="25" t="n"/>
      <c r="D198" s="25" t="n"/>
      <c r="E198" s="25" t="n"/>
      <c r="F198" s="30">
        <f>IF(A198="","",COUNTIF(Pedidos!$D$2:$D$301,A198))</f>
        <v/>
      </c>
      <c r="G198" s="27">
        <f>IF(A198="","",SUMIF(Pedidos!$D$2:$D$301,A198,Pedidos!$M$2:$M$301))</f>
        <v/>
      </c>
      <c r="H198" s="31">
        <f>IF(OR(A198="",F198=0),"",_xlfn.MINIFS(Pedidos!$B$2:$B$301,Pedidos!$D$2:$D$301,A198))</f>
        <v/>
      </c>
      <c r="I198" s="31">
        <f>IF(OR(A198="",F198=0),"",_xlfn.MAXIFS(Pedidos!$B$2:$B$301,Pedidos!$D$2:$D$301,A198))</f>
        <v/>
      </c>
      <c r="J198" s="25" t="n"/>
    </row>
    <row r="199">
      <c r="A199" s="25" t="n"/>
      <c r="B199" s="25" t="n"/>
      <c r="C199" s="25" t="n"/>
      <c r="D199" s="25" t="n"/>
      <c r="E199" s="25" t="n"/>
      <c r="F199" s="30">
        <f>IF(A199="","",COUNTIF(Pedidos!$D$2:$D$301,A199))</f>
        <v/>
      </c>
      <c r="G199" s="27">
        <f>IF(A199="","",SUMIF(Pedidos!$D$2:$D$301,A199,Pedidos!$M$2:$M$301))</f>
        <v/>
      </c>
      <c r="H199" s="31">
        <f>IF(OR(A199="",F199=0),"",_xlfn.MINIFS(Pedidos!$B$2:$B$301,Pedidos!$D$2:$D$301,A199))</f>
        <v/>
      </c>
      <c r="I199" s="31">
        <f>IF(OR(A199="",F199=0),"",_xlfn.MAXIFS(Pedidos!$B$2:$B$301,Pedidos!$D$2:$D$301,A199))</f>
        <v/>
      </c>
      <c r="J199" s="25" t="n"/>
    </row>
    <row r="200">
      <c r="A200" s="25" t="n"/>
      <c r="B200" s="25" t="n"/>
      <c r="C200" s="25" t="n"/>
      <c r="D200" s="25" t="n"/>
      <c r="E200" s="25" t="n"/>
      <c r="F200" s="30">
        <f>IF(A200="","",COUNTIF(Pedidos!$D$2:$D$301,A200))</f>
        <v/>
      </c>
      <c r="G200" s="27">
        <f>IF(A200="","",SUMIF(Pedidos!$D$2:$D$301,A200,Pedidos!$M$2:$M$301))</f>
        <v/>
      </c>
      <c r="H200" s="31">
        <f>IF(OR(A200="",F200=0),"",_xlfn.MINIFS(Pedidos!$B$2:$B$301,Pedidos!$D$2:$D$301,A200))</f>
        <v/>
      </c>
      <c r="I200" s="31">
        <f>IF(OR(A200="",F200=0),"",_xlfn.MAXIFS(Pedidos!$B$2:$B$301,Pedidos!$D$2:$D$301,A200))</f>
        <v/>
      </c>
      <c r="J200" s="25" t="n"/>
    </row>
    <row r="201">
      <c r="A201" s="25" t="n"/>
      <c r="B201" s="25" t="n"/>
      <c r="C201" s="25" t="n"/>
      <c r="D201" s="25" t="n"/>
      <c r="E201" s="25" t="n"/>
      <c r="F201" s="30">
        <f>IF(A201="","",COUNTIF(Pedidos!$D$2:$D$301,A201))</f>
        <v/>
      </c>
      <c r="G201" s="27">
        <f>IF(A201="","",SUMIF(Pedidos!$D$2:$D$301,A201,Pedidos!$M$2:$M$301))</f>
        <v/>
      </c>
      <c r="H201" s="31">
        <f>IF(OR(A201="",F201=0),"",_xlfn.MINIFS(Pedidos!$B$2:$B$301,Pedidos!$D$2:$D$301,A201))</f>
        <v/>
      </c>
      <c r="I201" s="31">
        <f>IF(OR(A201="",F201=0),"",_xlfn.MAXIFS(Pedidos!$B$2:$B$301,Pedidos!$D$2:$D$301,A201))</f>
        <v/>
      </c>
      <c r="J201" s="25" t="n"/>
    </row>
    <row r="202">
      <c r="A202" s="25" t="n"/>
      <c r="B202" s="25" t="n"/>
      <c r="C202" s="25" t="n"/>
      <c r="D202" s="25" t="n"/>
      <c r="E202" s="25" t="n"/>
      <c r="F202" s="30">
        <f>IF(A202="","",COUNTIF(Pedidos!$D$2:$D$301,A202))</f>
        <v/>
      </c>
      <c r="G202" s="27">
        <f>IF(A202="","",SUMIF(Pedidos!$D$2:$D$301,A202,Pedidos!$M$2:$M$301))</f>
        <v/>
      </c>
      <c r="H202" s="31">
        <f>IF(OR(A202="",F202=0),"",_xlfn.MINIFS(Pedidos!$B$2:$B$301,Pedidos!$D$2:$D$301,A202))</f>
        <v/>
      </c>
      <c r="I202" s="31">
        <f>IF(OR(A202="",F202=0),"",_xlfn.MAXIFS(Pedidos!$B$2:$B$301,Pedidos!$D$2:$D$301,A202))</f>
        <v/>
      </c>
      <c r="J202" s="25" t="n"/>
    </row>
    <row r="203">
      <c r="A203" s="25" t="n"/>
      <c r="B203" s="25" t="n"/>
      <c r="C203" s="25" t="n"/>
      <c r="D203" s="25" t="n"/>
      <c r="E203" s="25" t="n"/>
      <c r="F203" s="30">
        <f>IF(A203="","",COUNTIF(Pedidos!$D$2:$D$301,A203))</f>
        <v/>
      </c>
      <c r="G203" s="27">
        <f>IF(A203="","",SUMIF(Pedidos!$D$2:$D$301,A203,Pedidos!$M$2:$M$301))</f>
        <v/>
      </c>
      <c r="H203" s="31">
        <f>IF(OR(A203="",F203=0),"",_xlfn.MINIFS(Pedidos!$B$2:$B$301,Pedidos!$D$2:$D$301,A203))</f>
        <v/>
      </c>
      <c r="I203" s="31">
        <f>IF(OR(A203="",F203=0),"",_xlfn.MAXIFS(Pedidos!$B$2:$B$301,Pedidos!$D$2:$D$301,A203))</f>
        <v/>
      </c>
      <c r="J203" s="25" t="n"/>
    </row>
    <row r="204">
      <c r="A204" s="25" t="n"/>
      <c r="B204" s="25" t="n"/>
      <c r="C204" s="25" t="n"/>
      <c r="D204" s="25" t="n"/>
      <c r="E204" s="25" t="n"/>
      <c r="F204" s="30">
        <f>IF(A204="","",COUNTIF(Pedidos!$D$2:$D$301,A204))</f>
        <v/>
      </c>
      <c r="G204" s="27">
        <f>IF(A204="","",SUMIF(Pedidos!$D$2:$D$301,A204,Pedidos!$M$2:$M$301))</f>
        <v/>
      </c>
      <c r="H204" s="31">
        <f>IF(OR(A204="",F204=0),"",_xlfn.MINIFS(Pedidos!$B$2:$B$301,Pedidos!$D$2:$D$301,A204))</f>
        <v/>
      </c>
      <c r="I204" s="31">
        <f>IF(OR(A204="",F204=0),"",_xlfn.MAXIFS(Pedidos!$B$2:$B$301,Pedidos!$D$2:$D$301,A204))</f>
        <v/>
      </c>
      <c r="J204" s="25" t="n"/>
    </row>
    <row r="205">
      <c r="A205" s="25" t="n"/>
      <c r="B205" s="25" t="n"/>
      <c r="C205" s="25" t="n"/>
      <c r="D205" s="25" t="n"/>
      <c r="E205" s="25" t="n"/>
      <c r="F205" s="30">
        <f>IF(A205="","",COUNTIF(Pedidos!$D$2:$D$301,A205))</f>
        <v/>
      </c>
      <c r="G205" s="27">
        <f>IF(A205="","",SUMIF(Pedidos!$D$2:$D$301,A205,Pedidos!$M$2:$M$301))</f>
        <v/>
      </c>
      <c r="H205" s="31">
        <f>IF(OR(A205="",F205=0),"",_xlfn.MINIFS(Pedidos!$B$2:$B$301,Pedidos!$D$2:$D$301,A205))</f>
        <v/>
      </c>
      <c r="I205" s="31">
        <f>IF(OR(A205="",F205=0),"",_xlfn.MAXIFS(Pedidos!$B$2:$B$301,Pedidos!$D$2:$D$301,A205))</f>
        <v/>
      </c>
      <c r="J205" s="25" t="n"/>
    </row>
    <row r="206">
      <c r="A206" s="25" t="n"/>
      <c r="B206" s="25" t="n"/>
      <c r="C206" s="25" t="n"/>
      <c r="D206" s="25" t="n"/>
      <c r="E206" s="25" t="n"/>
      <c r="F206" s="30">
        <f>IF(A206="","",COUNTIF(Pedidos!$D$2:$D$301,A206))</f>
        <v/>
      </c>
      <c r="G206" s="27">
        <f>IF(A206="","",SUMIF(Pedidos!$D$2:$D$301,A206,Pedidos!$M$2:$M$301))</f>
        <v/>
      </c>
      <c r="H206" s="31">
        <f>IF(OR(A206="",F206=0),"",_xlfn.MINIFS(Pedidos!$B$2:$B$301,Pedidos!$D$2:$D$301,A206))</f>
        <v/>
      </c>
      <c r="I206" s="31">
        <f>IF(OR(A206="",F206=0),"",_xlfn.MAXIFS(Pedidos!$B$2:$B$301,Pedidos!$D$2:$D$301,A206))</f>
        <v/>
      </c>
      <c r="J206" s="25" t="n"/>
    </row>
    <row r="207">
      <c r="A207" s="25" t="n"/>
      <c r="B207" s="25" t="n"/>
      <c r="C207" s="25" t="n"/>
      <c r="D207" s="25" t="n"/>
      <c r="E207" s="25" t="n"/>
      <c r="F207" s="30">
        <f>IF(A207="","",COUNTIF(Pedidos!$D$2:$D$301,A207))</f>
        <v/>
      </c>
      <c r="G207" s="27">
        <f>IF(A207="","",SUMIF(Pedidos!$D$2:$D$301,A207,Pedidos!$M$2:$M$301))</f>
        <v/>
      </c>
      <c r="H207" s="31">
        <f>IF(OR(A207="",F207=0),"",_xlfn.MINIFS(Pedidos!$B$2:$B$301,Pedidos!$D$2:$D$301,A207))</f>
        <v/>
      </c>
      <c r="I207" s="31">
        <f>IF(OR(A207="",F207=0),"",_xlfn.MAXIFS(Pedidos!$B$2:$B$301,Pedidos!$D$2:$D$301,A207))</f>
        <v/>
      </c>
      <c r="J207" s="25" t="n"/>
    </row>
    <row r="208">
      <c r="A208" s="25" t="n"/>
      <c r="B208" s="25" t="n"/>
      <c r="C208" s="25" t="n"/>
      <c r="D208" s="25" t="n"/>
      <c r="E208" s="25" t="n"/>
      <c r="F208" s="30">
        <f>IF(A208="","",COUNTIF(Pedidos!$D$2:$D$301,A208))</f>
        <v/>
      </c>
      <c r="G208" s="27">
        <f>IF(A208="","",SUMIF(Pedidos!$D$2:$D$301,A208,Pedidos!$M$2:$M$301))</f>
        <v/>
      </c>
      <c r="H208" s="31">
        <f>IF(OR(A208="",F208=0),"",_xlfn.MINIFS(Pedidos!$B$2:$B$301,Pedidos!$D$2:$D$301,A208))</f>
        <v/>
      </c>
      <c r="I208" s="31">
        <f>IF(OR(A208="",F208=0),"",_xlfn.MAXIFS(Pedidos!$B$2:$B$301,Pedidos!$D$2:$D$301,A208))</f>
        <v/>
      </c>
      <c r="J208" s="25" t="n"/>
    </row>
    <row r="209">
      <c r="A209" s="25" t="n"/>
      <c r="B209" s="25" t="n"/>
      <c r="C209" s="25" t="n"/>
      <c r="D209" s="25" t="n"/>
      <c r="E209" s="25" t="n"/>
      <c r="F209" s="30">
        <f>IF(A209="","",COUNTIF(Pedidos!$D$2:$D$301,A209))</f>
        <v/>
      </c>
      <c r="G209" s="27">
        <f>IF(A209="","",SUMIF(Pedidos!$D$2:$D$301,A209,Pedidos!$M$2:$M$301))</f>
        <v/>
      </c>
      <c r="H209" s="31">
        <f>IF(OR(A209="",F209=0),"",_xlfn.MINIFS(Pedidos!$B$2:$B$301,Pedidos!$D$2:$D$301,A209))</f>
        <v/>
      </c>
      <c r="I209" s="31">
        <f>IF(OR(A209="",F209=0),"",_xlfn.MAXIFS(Pedidos!$B$2:$B$301,Pedidos!$D$2:$D$301,A209))</f>
        <v/>
      </c>
      <c r="J209" s="25" t="n"/>
    </row>
    <row r="210">
      <c r="A210" s="25" t="n"/>
      <c r="B210" s="25" t="n"/>
      <c r="C210" s="25" t="n"/>
      <c r="D210" s="25" t="n"/>
      <c r="E210" s="25" t="n"/>
      <c r="F210" s="30">
        <f>IF(A210="","",COUNTIF(Pedidos!$D$2:$D$301,A210))</f>
        <v/>
      </c>
      <c r="G210" s="27">
        <f>IF(A210="","",SUMIF(Pedidos!$D$2:$D$301,A210,Pedidos!$M$2:$M$301))</f>
        <v/>
      </c>
      <c r="H210" s="31">
        <f>IF(OR(A210="",F210=0),"",_xlfn.MINIFS(Pedidos!$B$2:$B$301,Pedidos!$D$2:$D$301,A210))</f>
        <v/>
      </c>
      <c r="I210" s="31">
        <f>IF(OR(A210="",F210=0),"",_xlfn.MAXIFS(Pedidos!$B$2:$B$301,Pedidos!$D$2:$D$301,A210))</f>
        <v/>
      </c>
      <c r="J210" s="25" t="n"/>
    </row>
    <row r="211">
      <c r="A211" s="25" t="n"/>
      <c r="B211" s="25" t="n"/>
      <c r="C211" s="25" t="n"/>
      <c r="D211" s="25" t="n"/>
      <c r="E211" s="25" t="n"/>
      <c r="F211" s="30">
        <f>IF(A211="","",COUNTIF(Pedidos!$D$2:$D$301,A211))</f>
        <v/>
      </c>
      <c r="G211" s="27">
        <f>IF(A211="","",SUMIF(Pedidos!$D$2:$D$301,A211,Pedidos!$M$2:$M$301))</f>
        <v/>
      </c>
      <c r="H211" s="31">
        <f>IF(OR(A211="",F211=0),"",_xlfn.MINIFS(Pedidos!$B$2:$B$301,Pedidos!$D$2:$D$301,A211))</f>
        <v/>
      </c>
      <c r="I211" s="31">
        <f>IF(OR(A211="",F211=0),"",_xlfn.MAXIFS(Pedidos!$B$2:$B$301,Pedidos!$D$2:$D$301,A211))</f>
        <v/>
      </c>
      <c r="J211" s="25" t="n"/>
    </row>
    <row r="212">
      <c r="A212" s="25" t="n"/>
      <c r="B212" s="25" t="n"/>
      <c r="C212" s="25" t="n"/>
      <c r="D212" s="25" t="n"/>
      <c r="E212" s="25" t="n"/>
      <c r="F212" s="30">
        <f>IF(A212="","",COUNTIF(Pedidos!$D$2:$D$301,A212))</f>
        <v/>
      </c>
      <c r="G212" s="27">
        <f>IF(A212="","",SUMIF(Pedidos!$D$2:$D$301,A212,Pedidos!$M$2:$M$301))</f>
        <v/>
      </c>
      <c r="H212" s="31">
        <f>IF(OR(A212="",F212=0),"",_xlfn.MINIFS(Pedidos!$B$2:$B$301,Pedidos!$D$2:$D$301,A212))</f>
        <v/>
      </c>
      <c r="I212" s="31">
        <f>IF(OR(A212="",F212=0),"",_xlfn.MAXIFS(Pedidos!$B$2:$B$301,Pedidos!$D$2:$D$301,A212))</f>
        <v/>
      </c>
      <c r="J212" s="25" t="n"/>
    </row>
    <row r="213">
      <c r="A213" s="25" t="n"/>
      <c r="B213" s="25" t="n"/>
      <c r="C213" s="25" t="n"/>
      <c r="D213" s="25" t="n"/>
      <c r="E213" s="25" t="n"/>
      <c r="F213" s="30">
        <f>IF(A213="","",COUNTIF(Pedidos!$D$2:$D$301,A213))</f>
        <v/>
      </c>
      <c r="G213" s="27">
        <f>IF(A213="","",SUMIF(Pedidos!$D$2:$D$301,A213,Pedidos!$M$2:$M$301))</f>
        <v/>
      </c>
      <c r="H213" s="31">
        <f>IF(OR(A213="",F213=0),"",_xlfn.MINIFS(Pedidos!$B$2:$B$301,Pedidos!$D$2:$D$301,A213))</f>
        <v/>
      </c>
      <c r="I213" s="31">
        <f>IF(OR(A213="",F213=0),"",_xlfn.MAXIFS(Pedidos!$B$2:$B$301,Pedidos!$D$2:$D$301,A213))</f>
        <v/>
      </c>
      <c r="J213" s="25" t="n"/>
    </row>
    <row r="214">
      <c r="A214" s="25" t="n"/>
      <c r="B214" s="25" t="n"/>
      <c r="C214" s="25" t="n"/>
      <c r="D214" s="25" t="n"/>
      <c r="E214" s="25" t="n"/>
      <c r="F214" s="30">
        <f>IF(A214="","",COUNTIF(Pedidos!$D$2:$D$301,A214))</f>
        <v/>
      </c>
      <c r="G214" s="27">
        <f>IF(A214="","",SUMIF(Pedidos!$D$2:$D$301,A214,Pedidos!$M$2:$M$301))</f>
        <v/>
      </c>
      <c r="H214" s="31">
        <f>IF(OR(A214="",F214=0),"",_xlfn.MINIFS(Pedidos!$B$2:$B$301,Pedidos!$D$2:$D$301,A214))</f>
        <v/>
      </c>
      <c r="I214" s="31">
        <f>IF(OR(A214="",F214=0),"",_xlfn.MAXIFS(Pedidos!$B$2:$B$301,Pedidos!$D$2:$D$301,A214))</f>
        <v/>
      </c>
      <c r="J214" s="25" t="n"/>
    </row>
    <row r="215">
      <c r="A215" s="25" t="n"/>
      <c r="B215" s="25" t="n"/>
      <c r="C215" s="25" t="n"/>
      <c r="D215" s="25" t="n"/>
      <c r="E215" s="25" t="n"/>
      <c r="F215" s="30">
        <f>IF(A215="","",COUNTIF(Pedidos!$D$2:$D$301,A215))</f>
        <v/>
      </c>
      <c r="G215" s="27">
        <f>IF(A215="","",SUMIF(Pedidos!$D$2:$D$301,A215,Pedidos!$M$2:$M$301))</f>
        <v/>
      </c>
      <c r="H215" s="31">
        <f>IF(OR(A215="",F215=0),"",_xlfn.MINIFS(Pedidos!$B$2:$B$301,Pedidos!$D$2:$D$301,A215))</f>
        <v/>
      </c>
      <c r="I215" s="31">
        <f>IF(OR(A215="",F215=0),"",_xlfn.MAXIFS(Pedidos!$B$2:$B$301,Pedidos!$D$2:$D$301,A215))</f>
        <v/>
      </c>
      <c r="J215" s="25" t="n"/>
    </row>
    <row r="216">
      <c r="A216" s="25" t="n"/>
      <c r="B216" s="25" t="n"/>
      <c r="C216" s="25" t="n"/>
      <c r="D216" s="25" t="n"/>
      <c r="E216" s="25" t="n"/>
      <c r="F216" s="30">
        <f>IF(A216="","",COUNTIF(Pedidos!$D$2:$D$301,A216))</f>
        <v/>
      </c>
      <c r="G216" s="27">
        <f>IF(A216="","",SUMIF(Pedidos!$D$2:$D$301,A216,Pedidos!$M$2:$M$301))</f>
        <v/>
      </c>
      <c r="H216" s="31">
        <f>IF(OR(A216="",F216=0),"",_xlfn.MINIFS(Pedidos!$B$2:$B$301,Pedidos!$D$2:$D$301,A216))</f>
        <v/>
      </c>
      <c r="I216" s="31">
        <f>IF(OR(A216="",F216=0),"",_xlfn.MAXIFS(Pedidos!$B$2:$B$301,Pedidos!$D$2:$D$301,A216))</f>
        <v/>
      </c>
      <c r="J216" s="25" t="n"/>
    </row>
    <row r="217">
      <c r="A217" s="25" t="n"/>
      <c r="B217" s="25" t="n"/>
      <c r="C217" s="25" t="n"/>
      <c r="D217" s="25" t="n"/>
      <c r="E217" s="25" t="n"/>
      <c r="F217" s="30">
        <f>IF(A217="","",COUNTIF(Pedidos!$D$2:$D$301,A217))</f>
        <v/>
      </c>
      <c r="G217" s="27">
        <f>IF(A217="","",SUMIF(Pedidos!$D$2:$D$301,A217,Pedidos!$M$2:$M$301))</f>
        <v/>
      </c>
      <c r="H217" s="31">
        <f>IF(OR(A217="",F217=0),"",_xlfn.MINIFS(Pedidos!$B$2:$B$301,Pedidos!$D$2:$D$301,A217))</f>
        <v/>
      </c>
      <c r="I217" s="31">
        <f>IF(OR(A217="",F217=0),"",_xlfn.MAXIFS(Pedidos!$B$2:$B$301,Pedidos!$D$2:$D$301,A217))</f>
        <v/>
      </c>
      <c r="J217" s="25" t="n"/>
    </row>
    <row r="218">
      <c r="A218" s="25" t="n"/>
      <c r="B218" s="25" t="n"/>
      <c r="C218" s="25" t="n"/>
      <c r="D218" s="25" t="n"/>
      <c r="E218" s="25" t="n"/>
      <c r="F218" s="30">
        <f>IF(A218="","",COUNTIF(Pedidos!$D$2:$D$301,A218))</f>
        <v/>
      </c>
      <c r="G218" s="27">
        <f>IF(A218="","",SUMIF(Pedidos!$D$2:$D$301,A218,Pedidos!$M$2:$M$301))</f>
        <v/>
      </c>
      <c r="H218" s="31">
        <f>IF(OR(A218="",F218=0),"",_xlfn.MINIFS(Pedidos!$B$2:$B$301,Pedidos!$D$2:$D$301,A218))</f>
        <v/>
      </c>
      <c r="I218" s="31">
        <f>IF(OR(A218="",F218=0),"",_xlfn.MAXIFS(Pedidos!$B$2:$B$301,Pedidos!$D$2:$D$301,A218))</f>
        <v/>
      </c>
      <c r="J218" s="25" t="n"/>
    </row>
    <row r="219">
      <c r="A219" s="25" t="n"/>
      <c r="B219" s="25" t="n"/>
      <c r="C219" s="25" t="n"/>
      <c r="D219" s="25" t="n"/>
      <c r="E219" s="25" t="n"/>
      <c r="F219" s="30">
        <f>IF(A219="","",COUNTIF(Pedidos!$D$2:$D$301,A219))</f>
        <v/>
      </c>
      <c r="G219" s="27">
        <f>IF(A219="","",SUMIF(Pedidos!$D$2:$D$301,A219,Pedidos!$M$2:$M$301))</f>
        <v/>
      </c>
      <c r="H219" s="31">
        <f>IF(OR(A219="",F219=0),"",_xlfn.MINIFS(Pedidos!$B$2:$B$301,Pedidos!$D$2:$D$301,A219))</f>
        <v/>
      </c>
      <c r="I219" s="31">
        <f>IF(OR(A219="",F219=0),"",_xlfn.MAXIFS(Pedidos!$B$2:$B$301,Pedidos!$D$2:$D$301,A219))</f>
        <v/>
      </c>
      <c r="J219" s="25" t="n"/>
    </row>
    <row r="220">
      <c r="A220" s="25" t="n"/>
      <c r="B220" s="25" t="n"/>
      <c r="C220" s="25" t="n"/>
      <c r="D220" s="25" t="n"/>
      <c r="E220" s="25" t="n"/>
      <c r="F220" s="30">
        <f>IF(A220="","",COUNTIF(Pedidos!$D$2:$D$301,A220))</f>
        <v/>
      </c>
      <c r="G220" s="27">
        <f>IF(A220="","",SUMIF(Pedidos!$D$2:$D$301,A220,Pedidos!$M$2:$M$301))</f>
        <v/>
      </c>
      <c r="H220" s="31">
        <f>IF(OR(A220="",F220=0),"",_xlfn.MINIFS(Pedidos!$B$2:$B$301,Pedidos!$D$2:$D$301,A220))</f>
        <v/>
      </c>
      <c r="I220" s="31">
        <f>IF(OR(A220="",F220=0),"",_xlfn.MAXIFS(Pedidos!$B$2:$B$301,Pedidos!$D$2:$D$301,A220))</f>
        <v/>
      </c>
      <c r="J220" s="25" t="n"/>
    </row>
    <row r="221">
      <c r="A221" s="25" t="n"/>
      <c r="B221" s="25" t="n"/>
      <c r="C221" s="25" t="n"/>
      <c r="D221" s="25" t="n"/>
      <c r="E221" s="25" t="n"/>
      <c r="F221" s="30">
        <f>IF(A221="","",COUNTIF(Pedidos!$D$2:$D$301,A221))</f>
        <v/>
      </c>
      <c r="G221" s="27">
        <f>IF(A221="","",SUMIF(Pedidos!$D$2:$D$301,A221,Pedidos!$M$2:$M$301))</f>
        <v/>
      </c>
      <c r="H221" s="31">
        <f>IF(OR(A221="",F221=0),"",_xlfn.MINIFS(Pedidos!$B$2:$B$301,Pedidos!$D$2:$D$301,A221))</f>
        <v/>
      </c>
      <c r="I221" s="31">
        <f>IF(OR(A221="",F221=0),"",_xlfn.MAXIFS(Pedidos!$B$2:$B$301,Pedidos!$D$2:$D$301,A221))</f>
        <v/>
      </c>
      <c r="J221" s="25" t="n"/>
    </row>
    <row r="222">
      <c r="A222" s="25" t="n"/>
      <c r="B222" s="25" t="n"/>
      <c r="C222" s="25" t="n"/>
      <c r="D222" s="25" t="n"/>
      <c r="E222" s="25" t="n"/>
      <c r="F222" s="30">
        <f>IF(A222="","",COUNTIF(Pedidos!$D$2:$D$301,A222))</f>
        <v/>
      </c>
      <c r="G222" s="27">
        <f>IF(A222="","",SUMIF(Pedidos!$D$2:$D$301,A222,Pedidos!$M$2:$M$301))</f>
        <v/>
      </c>
      <c r="H222" s="31">
        <f>IF(OR(A222="",F222=0),"",_xlfn.MINIFS(Pedidos!$B$2:$B$301,Pedidos!$D$2:$D$301,A222))</f>
        <v/>
      </c>
      <c r="I222" s="31">
        <f>IF(OR(A222="",F222=0),"",_xlfn.MAXIFS(Pedidos!$B$2:$B$301,Pedidos!$D$2:$D$301,A222))</f>
        <v/>
      </c>
      <c r="J222" s="25" t="n"/>
    </row>
    <row r="223">
      <c r="A223" s="25" t="n"/>
      <c r="B223" s="25" t="n"/>
      <c r="C223" s="25" t="n"/>
      <c r="D223" s="25" t="n"/>
      <c r="E223" s="25" t="n"/>
      <c r="F223" s="30">
        <f>IF(A223="","",COUNTIF(Pedidos!$D$2:$D$301,A223))</f>
        <v/>
      </c>
      <c r="G223" s="27">
        <f>IF(A223="","",SUMIF(Pedidos!$D$2:$D$301,A223,Pedidos!$M$2:$M$301))</f>
        <v/>
      </c>
      <c r="H223" s="31">
        <f>IF(OR(A223="",F223=0),"",_xlfn.MINIFS(Pedidos!$B$2:$B$301,Pedidos!$D$2:$D$301,A223))</f>
        <v/>
      </c>
      <c r="I223" s="31">
        <f>IF(OR(A223="",F223=0),"",_xlfn.MAXIFS(Pedidos!$B$2:$B$301,Pedidos!$D$2:$D$301,A223))</f>
        <v/>
      </c>
      <c r="J223" s="25" t="n"/>
    </row>
    <row r="224">
      <c r="A224" s="25" t="n"/>
      <c r="B224" s="25" t="n"/>
      <c r="C224" s="25" t="n"/>
      <c r="D224" s="25" t="n"/>
      <c r="E224" s="25" t="n"/>
      <c r="F224" s="30">
        <f>IF(A224="","",COUNTIF(Pedidos!$D$2:$D$301,A224))</f>
        <v/>
      </c>
      <c r="G224" s="27">
        <f>IF(A224="","",SUMIF(Pedidos!$D$2:$D$301,A224,Pedidos!$M$2:$M$301))</f>
        <v/>
      </c>
      <c r="H224" s="31">
        <f>IF(OR(A224="",F224=0),"",_xlfn.MINIFS(Pedidos!$B$2:$B$301,Pedidos!$D$2:$D$301,A224))</f>
        <v/>
      </c>
      <c r="I224" s="31">
        <f>IF(OR(A224="",F224=0),"",_xlfn.MAXIFS(Pedidos!$B$2:$B$301,Pedidos!$D$2:$D$301,A224))</f>
        <v/>
      </c>
      <c r="J224" s="25" t="n"/>
    </row>
    <row r="225">
      <c r="A225" s="25" t="n"/>
      <c r="B225" s="25" t="n"/>
      <c r="C225" s="25" t="n"/>
      <c r="D225" s="25" t="n"/>
      <c r="E225" s="25" t="n"/>
      <c r="F225" s="30">
        <f>IF(A225="","",COUNTIF(Pedidos!$D$2:$D$301,A225))</f>
        <v/>
      </c>
      <c r="G225" s="27">
        <f>IF(A225="","",SUMIF(Pedidos!$D$2:$D$301,A225,Pedidos!$M$2:$M$301))</f>
        <v/>
      </c>
      <c r="H225" s="31">
        <f>IF(OR(A225="",F225=0),"",_xlfn.MINIFS(Pedidos!$B$2:$B$301,Pedidos!$D$2:$D$301,A225))</f>
        <v/>
      </c>
      <c r="I225" s="31">
        <f>IF(OR(A225="",F225=0),"",_xlfn.MAXIFS(Pedidos!$B$2:$B$301,Pedidos!$D$2:$D$301,A225))</f>
        <v/>
      </c>
      <c r="J225" s="25" t="n"/>
    </row>
    <row r="226">
      <c r="A226" s="25" t="n"/>
      <c r="B226" s="25" t="n"/>
      <c r="C226" s="25" t="n"/>
      <c r="D226" s="25" t="n"/>
      <c r="E226" s="25" t="n"/>
      <c r="F226" s="30">
        <f>IF(A226="","",COUNTIF(Pedidos!$D$2:$D$301,A226))</f>
        <v/>
      </c>
      <c r="G226" s="27">
        <f>IF(A226="","",SUMIF(Pedidos!$D$2:$D$301,A226,Pedidos!$M$2:$M$301))</f>
        <v/>
      </c>
      <c r="H226" s="31">
        <f>IF(OR(A226="",F226=0),"",_xlfn.MINIFS(Pedidos!$B$2:$B$301,Pedidos!$D$2:$D$301,A226))</f>
        <v/>
      </c>
      <c r="I226" s="31">
        <f>IF(OR(A226="",F226=0),"",_xlfn.MAXIFS(Pedidos!$B$2:$B$301,Pedidos!$D$2:$D$301,A226))</f>
        <v/>
      </c>
      <c r="J226" s="25" t="n"/>
    </row>
    <row r="227">
      <c r="A227" s="25" t="n"/>
      <c r="B227" s="25" t="n"/>
      <c r="C227" s="25" t="n"/>
      <c r="D227" s="25" t="n"/>
      <c r="E227" s="25" t="n"/>
      <c r="F227" s="30">
        <f>IF(A227="","",COUNTIF(Pedidos!$D$2:$D$301,A227))</f>
        <v/>
      </c>
      <c r="G227" s="27">
        <f>IF(A227="","",SUMIF(Pedidos!$D$2:$D$301,A227,Pedidos!$M$2:$M$301))</f>
        <v/>
      </c>
      <c r="H227" s="31">
        <f>IF(OR(A227="",F227=0),"",_xlfn.MINIFS(Pedidos!$B$2:$B$301,Pedidos!$D$2:$D$301,A227))</f>
        <v/>
      </c>
      <c r="I227" s="31">
        <f>IF(OR(A227="",F227=0),"",_xlfn.MAXIFS(Pedidos!$B$2:$B$301,Pedidos!$D$2:$D$301,A227))</f>
        <v/>
      </c>
      <c r="J227" s="25" t="n"/>
    </row>
    <row r="228">
      <c r="A228" s="25" t="n"/>
      <c r="B228" s="25" t="n"/>
      <c r="C228" s="25" t="n"/>
      <c r="D228" s="25" t="n"/>
      <c r="E228" s="25" t="n"/>
      <c r="F228" s="30">
        <f>IF(A228="","",COUNTIF(Pedidos!$D$2:$D$301,A228))</f>
        <v/>
      </c>
      <c r="G228" s="27">
        <f>IF(A228="","",SUMIF(Pedidos!$D$2:$D$301,A228,Pedidos!$M$2:$M$301))</f>
        <v/>
      </c>
      <c r="H228" s="31">
        <f>IF(OR(A228="",F228=0),"",_xlfn.MINIFS(Pedidos!$B$2:$B$301,Pedidos!$D$2:$D$301,A228))</f>
        <v/>
      </c>
      <c r="I228" s="31">
        <f>IF(OR(A228="",F228=0),"",_xlfn.MAXIFS(Pedidos!$B$2:$B$301,Pedidos!$D$2:$D$301,A228))</f>
        <v/>
      </c>
      <c r="J228" s="25" t="n"/>
    </row>
    <row r="229">
      <c r="A229" s="25" t="n"/>
      <c r="B229" s="25" t="n"/>
      <c r="C229" s="25" t="n"/>
      <c r="D229" s="25" t="n"/>
      <c r="E229" s="25" t="n"/>
      <c r="F229" s="30">
        <f>IF(A229="","",COUNTIF(Pedidos!$D$2:$D$301,A229))</f>
        <v/>
      </c>
      <c r="G229" s="27">
        <f>IF(A229="","",SUMIF(Pedidos!$D$2:$D$301,A229,Pedidos!$M$2:$M$301))</f>
        <v/>
      </c>
      <c r="H229" s="31">
        <f>IF(OR(A229="",F229=0),"",_xlfn.MINIFS(Pedidos!$B$2:$B$301,Pedidos!$D$2:$D$301,A229))</f>
        <v/>
      </c>
      <c r="I229" s="31">
        <f>IF(OR(A229="",F229=0),"",_xlfn.MAXIFS(Pedidos!$B$2:$B$301,Pedidos!$D$2:$D$301,A229))</f>
        <v/>
      </c>
      <c r="J229" s="25" t="n"/>
    </row>
    <row r="230">
      <c r="A230" s="25" t="n"/>
      <c r="B230" s="25" t="n"/>
      <c r="C230" s="25" t="n"/>
      <c r="D230" s="25" t="n"/>
      <c r="E230" s="25" t="n"/>
      <c r="F230" s="30">
        <f>IF(A230="","",COUNTIF(Pedidos!$D$2:$D$301,A230))</f>
        <v/>
      </c>
      <c r="G230" s="27">
        <f>IF(A230="","",SUMIF(Pedidos!$D$2:$D$301,A230,Pedidos!$M$2:$M$301))</f>
        <v/>
      </c>
      <c r="H230" s="31">
        <f>IF(OR(A230="",F230=0),"",_xlfn.MINIFS(Pedidos!$B$2:$B$301,Pedidos!$D$2:$D$301,A230))</f>
        <v/>
      </c>
      <c r="I230" s="31">
        <f>IF(OR(A230="",F230=0),"",_xlfn.MAXIFS(Pedidos!$B$2:$B$301,Pedidos!$D$2:$D$301,A230))</f>
        <v/>
      </c>
      <c r="J230" s="25" t="n"/>
    </row>
    <row r="231">
      <c r="A231" s="25" t="n"/>
      <c r="B231" s="25" t="n"/>
      <c r="C231" s="25" t="n"/>
      <c r="D231" s="25" t="n"/>
      <c r="E231" s="25" t="n"/>
      <c r="F231" s="30">
        <f>IF(A231="","",COUNTIF(Pedidos!$D$2:$D$301,A231))</f>
        <v/>
      </c>
      <c r="G231" s="27">
        <f>IF(A231="","",SUMIF(Pedidos!$D$2:$D$301,A231,Pedidos!$M$2:$M$301))</f>
        <v/>
      </c>
      <c r="H231" s="31">
        <f>IF(OR(A231="",F231=0),"",_xlfn.MINIFS(Pedidos!$B$2:$B$301,Pedidos!$D$2:$D$301,A231))</f>
        <v/>
      </c>
      <c r="I231" s="31">
        <f>IF(OR(A231="",F231=0),"",_xlfn.MAXIFS(Pedidos!$B$2:$B$301,Pedidos!$D$2:$D$301,A231))</f>
        <v/>
      </c>
      <c r="J231" s="25" t="n"/>
    </row>
    <row r="232">
      <c r="A232" s="25" t="n"/>
      <c r="B232" s="25" t="n"/>
      <c r="C232" s="25" t="n"/>
      <c r="D232" s="25" t="n"/>
      <c r="E232" s="25" t="n"/>
      <c r="F232" s="30">
        <f>IF(A232="","",COUNTIF(Pedidos!$D$2:$D$301,A232))</f>
        <v/>
      </c>
      <c r="G232" s="27">
        <f>IF(A232="","",SUMIF(Pedidos!$D$2:$D$301,A232,Pedidos!$M$2:$M$301))</f>
        <v/>
      </c>
      <c r="H232" s="31">
        <f>IF(OR(A232="",F232=0),"",_xlfn.MINIFS(Pedidos!$B$2:$B$301,Pedidos!$D$2:$D$301,A232))</f>
        <v/>
      </c>
      <c r="I232" s="31">
        <f>IF(OR(A232="",F232=0),"",_xlfn.MAXIFS(Pedidos!$B$2:$B$301,Pedidos!$D$2:$D$301,A232))</f>
        <v/>
      </c>
      <c r="J232" s="25" t="n"/>
    </row>
    <row r="233">
      <c r="A233" s="25" t="n"/>
      <c r="B233" s="25" t="n"/>
      <c r="C233" s="25" t="n"/>
      <c r="D233" s="25" t="n"/>
      <c r="E233" s="25" t="n"/>
      <c r="F233" s="30">
        <f>IF(A233="","",COUNTIF(Pedidos!$D$2:$D$301,A233))</f>
        <v/>
      </c>
      <c r="G233" s="27">
        <f>IF(A233="","",SUMIF(Pedidos!$D$2:$D$301,A233,Pedidos!$M$2:$M$301))</f>
        <v/>
      </c>
      <c r="H233" s="31">
        <f>IF(OR(A233="",F233=0),"",_xlfn.MINIFS(Pedidos!$B$2:$B$301,Pedidos!$D$2:$D$301,A233))</f>
        <v/>
      </c>
      <c r="I233" s="31">
        <f>IF(OR(A233="",F233=0),"",_xlfn.MAXIFS(Pedidos!$B$2:$B$301,Pedidos!$D$2:$D$301,A233))</f>
        <v/>
      </c>
      <c r="J233" s="25" t="n"/>
    </row>
    <row r="234">
      <c r="A234" s="25" t="n"/>
      <c r="B234" s="25" t="n"/>
      <c r="C234" s="25" t="n"/>
      <c r="D234" s="25" t="n"/>
      <c r="E234" s="25" t="n"/>
      <c r="F234" s="30">
        <f>IF(A234="","",COUNTIF(Pedidos!$D$2:$D$301,A234))</f>
        <v/>
      </c>
      <c r="G234" s="27">
        <f>IF(A234="","",SUMIF(Pedidos!$D$2:$D$301,A234,Pedidos!$M$2:$M$301))</f>
        <v/>
      </c>
      <c r="H234" s="31">
        <f>IF(OR(A234="",F234=0),"",_xlfn.MINIFS(Pedidos!$B$2:$B$301,Pedidos!$D$2:$D$301,A234))</f>
        <v/>
      </c>
      <c r="I234" s="31">
        <f>IF(OR(A234="",F234=0),"",_xlfn.MAXIFS(Pedidos!$B$2:$B$301,Pedidos!$D$2:$D$301,A234))</f>
        <v/>
      </c>
      <c r="J234" s="25" t="n"/>
    </row>
    <row r="235">
      <c r="A235" s="25" t="n"/>
      <c r="B235" s="25" t="n"/>
      <c r="C235" s="25" t="n"/>
      <c r="D235" s="25" t="n"/>
      <c r="E235" s="25" t="n"/>
      <c r="F235" s="30">
        <f>IF(A235="","",COUNTIF(Pedidos!$D$2:$D$301,A235))</f>
        <v/>
      </c>
      <c r="G235" s="27">
        <f>IF(A235="","",SUMIF(Pedidos!$D$2:$D$301,A235,Pedidos!$M$2:$M$301))</f>
        <v/>
      </c>
      <c r="H235" s="31">
        <f>IF(OR(A235="",F235=0),"",_xlfn.MINIFS(Pedidos!$B$2:$B$301,Pedidos!$D$2:$D$301,A235))</f>
        <v/>
      </c>
      <c r="I235" s="31">
        <f>IF(OR(A235="",F235=0),"",_xlfn.MAXIFS(Pedidos!$B$2:$B$301,Pedidos!$D$2:$D$301,A235))</f>
        <v/>
      </c>
      <c r="J235" s="25" t="n"/>
    </row>
    <row r="236">
      <c r="A236" s="25" t="n"/>
      <c r="B236" s="25" t="n"/>
      <c r="C236" s="25" t="n"/>
      <c r="D236" s="25" t="n"/>
      <c r="E236" s="25" t="n"/>
      <c r="F236" s="30">
        <f>IF(A236="","",COUNTIF(Pedidos!$D$2:$D$301,A236))</f>
        <v/>
      </c>
      <c r="G236" s="27">
        <f>IF(A236="","",SUMIF(Pedidos!$D$2:$D$301,A236,Pedidos!$M$2:$M$301))</f>
        <v/>
      </c>
      <c r="H236" s="31">
        <f>IF(OR(A236="",F236=0),"",_xlfn.MINIFS(Pedidos!$B$2:$B$301,Pedidos!$D$2:$D$301,A236))</f>
        <v/>
      </c>
      <c r="I236" s="31">
        <f>IF(OR(A236="",F236=0),"",_xlfn.MAXIFS(Pedidos!$B$2:$B$301,Pedidos!$D$2:$D$301,A236))</f>
        <v/>
      </c>
      <c r="J236" s="25" t="n"/>
    </row>
    <row r="237">
      <c r="A237" s="25" t="n"/>
      <c r="B237" s="25" t="n"/>
      <c r="C237" s="25" t="n"/>
      <c r="D237" s="25" t="n"/>
      <c r="E237" s="25" t="n"/>
      <c r="F237" s="30">
        <f>IF(A237="","",COUNTIF(Pedidos!$D$2:$D$301,A237))</f>
        <v/>
      </c>
      <c r="G237" s="27">
        <f>IF(A237="","",SUMIF(Pedidos!$D$2:$D$301,A237,Pedidos!$M$2:$M$301))</f>
        <v/>
      </c>
      <c r="H237" s="31">
        <f>IF(OR(A237="",F237=0),"",_xlfn.MINIFS(Pedidos!$B$2:$B$301,Pedidos!$D$2:$D$301,A237))</f>
        <v/>
      </c>
      <c r="I237" s="31">
        <f>IF(OR(A237="",F237=0),"",_xlfn.MAXIFS(Pedidos!$B$2:$B$301,Pedidos!$D$2:$D$301,A237))</f>
        <v/>
      </c>
      <c r="J237" s="25" t="n"/>
    </row>
    <row r="238">
      <c r="A238" s="25" t="n"/>
      <c r="B238" s="25" t="n"/>
      <c r="C238" s="25" t="n"/>
      <c r="D238" s="25" t="n"/>
      <c r="E238" s="25" t="n"/>
      <c r="F238" s="30">
        <f>IF(A238="","",COUNTIF(Pedidos!$D$2:$D$301,A238))</f>
        <v/>
      </c>
      <c r="G238" s="27">
        <f>IF(A238="","",SUMIF(Pedidos!$D$2:$D$301,A238,Pedidos!$M$2:$M$301))</f>
        <v/>
      </c>
      <c r="H238" s="31">
        <f>IF(OR(A238="",F238=0),"",_xlfn.MINIFS(Pedidos!$B$2:$B$301,Pedidos!$D$2:$D$301,A238))</f>
        <v/>
      </c>
      <c r="I238" s="31">
        <f>IF(OR(A238="",F238=0),"",_xlfn.MAXIFS(Pedidos!$B$2:$B$301,Pedidos!$D$2:$D$301,A238))</f>
        <v/>
      </c>
      <c r="J238" s="25" t="n"/>
    </row>
    <row r="239">
      <c r="A239" s="25" t="n"/>
      <c r="B239" s="25" t="n"/>
      <c r="C239" s="25" t="n"/>
      <c r="D239" s="25" t="n"/>
      <c r="E239" s="25" t="n"/>
      <c r="F239" s="30">
        <f>IF(A239="","",COUNTIF(Pedidos!$D$2:$D$301,A239))</f>
        <v/>
      </c>
      <c r="G239" s="27">
        <f>IF(A239="","",SUMIF(Pedidos!$D$2:$D$301,A239,Pedidos!$M$2:$M$301))</f>
        <v/>
      </c>
      <c r="H239" s="31">
        <f>IF(OR(A239="",F239=0),"",_xlfn.MINIFS(Pedidos!$B$2:$B$301,Pedidos!$D$2:$D$301,A239))</f>
        <v/>
      </c>
      <c r="I239" s="31">
        <f>IF(OR(A239="",F239=0),"",_xlfn.MAXIFS(Pedidos!$B$2:$B$301,Pedidos!$D$2:$D$301,A239))</f>
        <v/>
      </c>
      <c r="J239" s="25" t="n"/>
    </row>
    <row r="240">
      <c r="A240" s="25" t="n"/>
      <c r="B240" s="25" t="n"/>
      <c r="C240" s="25" t="n"/>
      <c r="D240" s="25" t="n"/>
      <c r="E240" s="25" t="n"/>
      <c r="F240" s="30">
        <f>IF(A240="","",COUNTIF(Pedidos!$D$2:$D$301,A240))</f>
        <v/>
      </c>
      <c r="G240" s="27">
        <f>IF(A240="","",SUMIF(Pedidos!$D$2:$D$301,A240,Pedidos!$M$2:$M$301))</f>
        <v/>
      </c>
      <c r="H240" s="31">
        <f>IF(OR(A240="",F240=0),"",_xlfn.MINIFS(Pedidos!$B$2:$B$301,Pedidos!$D$2:$D$301,A240))</f>
        <v/>
      </c>
      <c r="I240" s="31">
        <f>IF(OR(A240="",F240=0),"",_xlfn.MAXIFS(Pedidos!$B$2:$B$301,Pedidos!$D$2:$D$301,A240))</f>
        <v/>
      </c>
      <c r="J240" s="25" t="n"/>
    </row>
    <row r="241">
      <c r="A241" s="25" t="n"/>
      <c r="B241" s="25" t="n"/>
      <c r="C241" s="25" t="n"/>
      <c r="D241" s="25" t="n"/>
      <c r="E241" s="25" t="n"/>
      <c r="F241" s="30">
        <f>IF(A241="","",COUNTIF(Pedidos!$D$2:$D$301,A241))</f>
        <v/>
      </c>
      <c r="G241" s="27">
        <f>IF(A241="","",SUMIF(Pedidos!$D$2:$D$301,A241,Pedidos!$M$2:$M$301))</f>
        <v/>
      </c>
      <c r="H241" s="31">
        <f>IF(OR(A241="",F241=0),"",_xlfn.MINIFS(Pedidos!$B$2:$B$301,Pedidos!$D$2:$D$301,A241))</f>
        <v/>
      </c>
      <c r="I241" s="31">
        <f>IF(OR(A241="",F241=0),"",_xlfn.MAXIFS(Pedidos!$B$2:$B$301,Pedidos!$D$2:$D$301,A241))</f>
        <v/>
      </c>
      <c r="J241" s="25" t="n"/>
    </row>
    <row r="242">
      <c r="A242" s="25" t="n"/>
      <c r="B242" s="25" t="n"/>
      <c r="C242" s="25" t="n"/>
      <c r="D242" s="25" t="n"/>
      <c r="E242" s="25" t="n"/>
      <c r="F242" s="30">
        <f>IF(A242="","",COUNTIF(Pedidos!$D$2:$D$301,A242))</f>
        <v/>
      </c>
      <c r="G242" s="27">
        <f>IF(A242="","",SUMIF(Pedidos!$D$2:$D$301,A242,Pedidos!$M$2:$M$301))</f>
        <v/>
      </c>
      <c r="H242" s="31">
        <f>IF(OR(A242="",F242=0),"",_xlfn.MINIFS(Pedidos!$B$2:$B$301,Pedidos!$D$2:$D$301,A242))</f>
        <v/>
      </c>
      <c r="I242" s="31">
        <f>IF(OR(A242="",F242=0),"",_xlfn.MAXIFS(Pedidos!$B$2:$B$301,Pedidos!$D$2:$D$301,A242))</f>
        <v/>
      </c>
      <c r="J242" s="25" t="n"/>
    </row>
    <row r="243">
      <c r="A243" s="25" t="n"/>
      <c r="B243" s="25" t="n"/>
      <c r="C243" s="25" t="n"/>
      <c r="D243" s="25" t="n"/>
      <c r="E243" s="25" t="n"/>
      <c r="F243" s="30">
        <f>IF(A243="","",COUNTIF(Pedidos!$D$2:$D$301,A243))</f>
        <v/>
      </c>
      <c r="G243" s="27">
        <f>IF(A243="","",SUMIF(Pedidos!$D$2:$D$301,A243,Pedidos!$M$2:$M$301))</f>
        <v/>
      </c>
      <c r="H243" s="31">
        <f>IF(OR(A243="",F243=0),"",_xlfn.MINIFS(Pedidos!$B$2:$B$301,Pedidos!$D$2:$D$301,A243))</f>
        <v/>
      </c>
      <c r="I243" s="31">
        <f>IF(OR(A243="",F243=0),"",_xlfn.MAXIFS(Pedidos!$B$2:$B$301,Pedidos!$D$2:$D$301,A243))</f>
        <v/>
      </c>
      <c r="J243" s="25" t="n"/>
    </row>
    <row r="244">
      <c r="A244" s="25" t="n"/>
      <c r="B244" s="25" t="n"/>
      <c r="C244" s="25" t="n"/>
      <c r="D244" s="25" t="n"/>
      <c r="E244" s="25" t="n"/>
      <c r="F244" s="30">
        <f>IF(A244="","",COUNTIF(Pedidos!$D$2:$D$301,A244))</f>
        <v/>
      </c>
      <c r="G244" s="27">
        <f>IF(A244="","",SUMIF(Pedidos!$D$2:$D$301,A244,Pedidos!$M$2:$M$301))</f>
        <v/>
      </c>
      <c r="H244" s="31">
        <f>IF(OR(A244="",F244=0),"",_xlfn.MINIFS(Pedidos!$B$2:$B$301,Pedidos!$D$2:$D$301,A244))</f>
        <v/>
      </c>
      <c r="I244" s="31">
        <f>IF(OR(A244="",F244=0),"",_xlfn.MAXIFS(Pedidos!$B$2:$B$301,Pedidos!$D$2:$D$301,A244))</f>
        <v/>
      </c>
      <c r="J244" s="25" t="n"/>
    </row>
    <row r="245">
      <c r="A245" s="25" t="n"/>
      <c r="B245" s="25" t="n"/>
      <c r="C245" s="25" t="n"/>
      <c r="D245" s="25" t="n"/>
      <c r="E245" s="25" t="n"/>
      <c r="F245" s="30">
        <f>IF(A245="","",COUNTIF(Pedidos!$D$2:$D$301,A245))</f>
        <v/>
      </c>
      <c r="G245" s="27">
        <f>IF(A245="","",SUMIF(Pedidos!$D$2:$D$301,A245,Pedidos!$M$2:$M$301))</f>
        <v/>
      </c>
      <c r="H245" s="31">
        <f>IF(OR(A245="",F245=0),"",_xlfn.MINIFS(Pedidos!$B$2:$B$301,Pedidos!$D$2:$D$301,A245))</f>
        <v/>
      </c>
      <c r="I245" s="31">
        <f>IF(OR(A245="",F245=0),"",_xlfn.MAXIFS(Pedidos!$B$2:$B$301,Pedidos!$D$2:$D$301,A245))</f>
        <v/>
      </c>
      <c r="J245" s="25" t="n"/>
    </row>
    <row r="246">
      <c r="A246" s="25" t="n"/>
      <c r="B246" s="25" t="n"/>
      <c r="C246" s="25" t="n"/>
      <c r="D246" s="25" t="n"/>
      <c r="E246" s="25" t="n"/>
      <c r="F246" s="30">
        <f>IF(A246="","",COUNTIF(Pedidos!$D$2:$D$301,A246))</f>
        <v/>
      </c>
      <c r="G246" s="27">
        <f>IF(A246="","",SUMIF(Pedidos!$D$2:$D$301,A246,Pedidos!$M$2:$M$301))</f>
        <v/>
      </c>
      <c r="H246" s="31">
        <f>IF(OR(A246="",F246=0),"",_xlfn.MINIFS(Pedidos!$B$2:$B$301,Pedidos!$D$2:$D$301,A246))</f>
        <v/>
      </c>
      <c r="I246" s="31">
        <f>IF(OR(A246="",F246=0),"",_xlfn.MAXIFS(Pedidos!$B$2:$B$301,Pedidos!$D$2:$D$301,A246))</f>
        <v/>
      </c>
      <c r="J246" s="25" t="n"/>
    </row>
    <row r="247">
      <c r="A247" s="25" t="n"/>
      <c r="B247" s="25" t="n"/>
      <c r="C247" s="25" t="n"/>
      <c r="D247" s="25" t="n"/>
      <c r="E247" s="25" t="n"/>
      <c r="F247" s="30">
        <f>IF(A247="","",COUNTIF(Pedidos!$D$2:$D$301,A247))</f>
        <v/>
      </c>
      <c r="G247" s="27">
        <f>IF(A247="","",SUMIF(Pedidos!$D$2:$D$301,A247,Pedidos!$M$2:$M$301))</f>
        <v/>
      </c>
      <c r="H247" s="31">
        <f>IF(OR(A247="",F247=0),"",_xlfn.MINIFS(Pedidos!$B$2:$B$301,Pedidos!$D$2:$D$301,A247))</f>
        <v/>
      </c>
      <c r="I247" s="31">
        <f>IF(OR(A247="",F247=0),"",_xlfn.MAXIFS(Pedidos!$B$2:$B$301,Pedidos!$D$2:$D$301,A247))</f>
        <v/>
      </c>
      <c r="J247" s="25" t="n"/>
    </row>
    <row r="248">
      <c r="A248" s="25" t="n"/>
      <c r="B248" s="25" t="n"/>
      <c r="C248" s="25" t="n"/>
      <c r="D248" s="25" t="n"/>
      <c r="E248" s="25" t="n"/>
      <c r="F248" s="30">
        <f>IF(A248="","",COUNTIF(Pedidos!$D$2:$D$301,A248))</f>
        <v/>
      </c>
      <c r="G248" s="27">
        <f>IF(A248="","",SUMIF(Pedidos!$D$2:$D$301,A248,Pedidos!$M$2:$M$301))</f>
        <v/>
      </c>
      <c r="H248" s="31">
        <f>IF(OR(A248="",F248=0),"",_xlfn.MINIFS(Pedidos!$B$2:$B$301,Pedidos!$D$2:$D$301,A248))</f>
        <v/>
      </c>
      <c r="I248" s="31">
        <f>IF(OR(A248="",F248=0),"",_xlfn.MAXIFS(Pedidos!$B$2:$B$301,Pedidos!$D$2:$D$301,A248))</f>
        <v/>
      </c>
      <c r="J248" s="25" t="n"/>
    </row>
    <row r="249">
      <c r="A249" s="25" t="n"/>
      <c r="B249" s="25" t="n"/>
      <c r="C249" s="25" t="n"/>
      <c r="D249" s="25" t="n"/>
      <c r="E249" s="25" t="n"/>
      <c r="F249" s="30">
        <f>IF(A249="","",COUNTIF(Pedidos!$D$2:$D$301,A249))</f>
        <v/>
      </c>
      <c r="G249" s="27">
        <f>IF(A249="","",SUMIF(Pedidos!$D$2:$D$301,A249,Pedidos!$M$2:$M$301))</f>
        <v/>
      </c>
      <c r="H249" s="31">
        <f>IF(OR(A249="",F249=0),"",_xlfn.MINIFS(Pedidos!$B$2:$B$301,Pedidos!$D$2:$D$301,A249))</f>
        <v/>
      </c>
      <c r="I249" s="31">
        <f>IF(OR(A249="",F249=0),"",_xlfn.MAXIFS(Pedidos!$B$2:$B$301,Pedidos!$D$2:$D$301,A249))</f>
        <v/>
      </c>
      <c r="J249" s="25" t="n"/>
    </row>
    <row r="250">
      <c r="A250" s="25" t="n"/>
      <c r="B250" s="25" t="n"/>
      <c r="C250" s="25" t="n"/>
      <c r="D250" s="25" t="n"/>
      <c r="E250" s="25" t="n"/>
      <c r="F250" s="30">
        <f>IF(A250="","",COUNTIF(Pedidos!$D$2:$D$301,A250))</f>
        <v/>
      </c>
      <c r="G250" s="27">
        <f>IF(A250="","",SUMIF(Pedidos!$D$2:$D$301,A250,Pedidos!$M$2:$M$301))</f>
        <v/>
      </c>
      <c r="H250" s="31">
        <f>IF(OR(A250="",F250=0),"",_xlfn.MINIFS(Pedidos!$B$2:$B$301,Pedidos!$D$2:$D$301,A250))</f>
        <v/>
      </c>
      <c r="I250" s="31">
        <f>IF(OR(A250="",F250=0),"",_xlfn.MAXIFS(Pedidos!$B$2:$B$301,Pedidos!$D$2:$D$301,A250))</f>
        <v/>
      </c>
      <c r="J250" s="25" t="n"/>
    </row>
    <row r="251">
      <c r="A251" s="25" t="n"/>
      <c r="B251" s="25" t="n"/>
      <c r="C251" s="25" t="n"/>
      <c r="D251" s="25" t="n"/>
      <c r="E251" s="25" t="n"/>
      <c r="F251" s="30">
        <f>IF(A251="","",COUNTIF(Pedidos!$D$2:$D$301,A251))</f>
        <v/>
      </c>
      <c r="G251" s="27">
        <f>IF(A251="","",SUMIF(Pedidos!$D$2:$D$301,A251,Pedidos!$M$2:$M$301))</f>
        <v/>
      </c>
      <c r="H251" s="31">
        <f>IF(OR(A251="",F251=0),"",_xlfn.MINIFS(Pedidos!$B$2:$B$301,Pedidos!$D$2:$D$301,A251))</f>
        <v/>
      </c>
      <c r="I251" s="31">
        <f>IF(OR(A251="",F251=0),"",_xlfn.MAXIFS(Pedidos!$B$2:$B$301,Pedidos!$D$2:$D$301,A251))</f>
        <v/>
      </c>
      <c r="J251" s="25" t="n"/>
    </row>
    <row r="252">
      <c r="A252" s="25" t="n"/>
      <c r="B252" s="25" t="n"/>
      <c r="C252" s="25" t="n"/>
      <c r="D252" s="25" t="n"/>
      <c r="E252" s="25" t="n"/>
      <c r="F252" s="30">
        <f>IF(A252="","",COUNTIF(Pedidos!$D$2:$D$301,A252))</f>
        <v/>
      </c>
      <c r="G252" s="27">
        <f>IF(A252="","",SUMIF(Pedidos!$D$2:$D$301,A252,Pedidos!$M$2:$M$301))</f>
        <v/>
      </c>
      <c r="H252" s="31">
        <f>IF(OR(A252="",F252=0),"",_xlfn.MINIFS(Pedidos!$B$2:$B$301,Pedidos!$D$2:$D$301,A252))</f>
        <v/>
      </c>
      <c r="I252" s="31">
        <f>IF(OR(A252="",F252=0),"",_xlfn.MAXIFS(Pedidos!$B$2:$B$301,Pedidos!$D$2:$D$301,A252))</f>
        <v/>
      </c>
      <c r="J252" s="25" t="n"/>
    </row>
    <row r="253">
      <c r="A253" s="25" t="n"/>
      <c r="B253" s="25" t="n"/>
      <c r="C253" s="25" t="n"/>
      <c r="D253" s="25" t="n"/>
      <c r="E253" s="25" t="n"/>
      <c r="F253" s="30">
        <f>IF(A253="","",COUNTIF(Pedidos!$D$2:$D$301,A253))</f>
        <v/>
      </c>
      <c r="G253" s="27">
        <f>IF(A253="","",SUMIF(Pedidos!$D$2:$D$301,A253,Pedidos!$M$2:$M$301))</f>
        <v/>
      </c>
      <c r="H253" s="31">
        <f>IF(OR(A253="",F253=0),"",_xlfn.MINIFS(Pedidos!$B$2:$B$301,Pedidos!$D$2:$D$301,A253))</f>
        <v/>
      </c>
      <c r="I253" s="31">
        <f>IF(OR(A253="",F253=0),"",_xlfn.MAXIFS(Pedidos!$B$2:$B$301,Pedidos!$D$2:$D$301,A253))</f>
        <v/>
      </c>
      <c r="J253" s="25" t="n"/>
    </row>
    <row r="254">
      <c r="A254" s="25" t="n"/>
      <c r="B254" s="25" t="n"/>
      <c r="C254" s="25" t="n"/>
      <c r="D254" s="25" t="n"/>
      <c r="E254" s="25" t="n"/>
      <c r="F254" s="30">
        <f>IF(A254="","",COUNTIF(Pedidos!$D$2:$D$301,A254))</f>
        <v/>
      </c>
      <c r="G254" s="27">
        <f>IF(A254="","",SUMIF(Pedidos!$D$2:$D$301,A254,Pedidos!$M$2:$M$301))</f>
        <v/>
      </c>
      <c r="H254" s="31">
        <f>IF(OR(A254="",F254=0),"",_xlfn.MINIFS(Pedidos!$B$2:$B$301,Pedidos!$D$2:$D$301,A254))</f>
        <v/>
      </c>
      <c r="I254" s="31">
        <f>IF(OR(A254="",F254=0),"",_xlfn.MAXIFS(Pedidos!$B$2:$B$301,Pedidos!$D$2:$D$301,A254))</f>
        <v/>
      </c>
      <c r="J254" s="25" t="n"/>
    </row>
    <row r="255">
      <c r="A255" s="25" t="n"/>
      <c r="B255" s="25" t="n"/>
      <c r="C255" s="25" t="n"/>
      <c r="D255" s="25" t="n"/>
      <c r="E255" s="25" t="n"/>
      <c r="F255" s="30">
        <f>IF(A255="","",COUNTIF(Pedidos!$D$2:$D$301,A255))</f>
        <v/>
      </c>
      <c r="G255" s="27">
        <f>IF(A255="","",SUMIF(Pedidos!$D$2:$D$301,A255,Pedidos!$M$2:$M$301))</f>
        <v/>
      </c>
      <c r="H255" s="31">
        <f>IF(OR(A255="",F255=0),"",_xlfn.MINIFS(Pedidos!$B$2:$B$301,Pedidos!$D$2:$D$301,A255))</f>
        <v/>
      </c>
      <c r="I255" s="31">
        <f>IF(OR(A255="",F255=0),"",_xlfn.MAXIFS(Pedidos!$B$2:$B$301,Pedidos!$D$2:$D$301,A255))</f>
        <v/>
      </c>
      <c r="J255" s="25" t="n"/>
    </row>
    <row r="256">
      <c r="A256" s="25" t="n"/>
      <c r="B256" s="25" t="n"/>
      <c r="C256" s="25" t="n"/>
      <c r="D256" s="25" t="n"/>
      <c r="E256" s="25" t="n"/>
      <c r="F256" s="30">
        <f>IF(A256="","",COUNTIF(Pedidos!$D$2:$D$301,A256))</f>
        <v/>
      </c>
      <c r="G256" s="27">
        <f>IF(A256="","",SUMIF(Pedidos!$D$2:$D$301,A256,Pedidos!$M$2:$M$301))</f>
        <v/>
      </c>
      <c r="H256" s="31">
        <f>IF(OR(A256="",F256=0),"",_xlfn.MINIFS(Pedidos!$B$2:$B$301,Pedidos!$D$2:$D$301,A256))</f>
        <v/>
      </c>
      <c r="I256" s="31">
        <f>IF(OR(A256="",F256=0),"",_xlfn.MAXIFS(Pedidos!$B$2:$B$301,Pedidos!$D$2:$D$301,A256))</f>
        <v/>
      </c>
      <c r="J256" s="25" t="n"/>
    </row>
    <row r="257">
      <c r="A257" s="25" t="n"/>
      <c r="B257" s="25" t="n"/>
      <c r="C257" s="25" t="n"/>
      <c r="D257" s="25" t="n"/>
      <c r="E257" s="25" t="n"/>
      <c r="F257" s="30">
        <f>IF(A257="","",COUNTIF(Pedidos!$D$2:$D$301,A257))</f>
        <v/>
      </c>
      <c r="G257" s="27">
        <f>IF(A257="","",SUMIF(Pedidos!$D$2:$D$301,A257,Pedidos!$M$2:$M$301))</f>
        <v/>
      </c>
      <c r="H257" s="31">
        <f>IF(OR(A257="",F257=0),"",_xlfn.MINIFS(Pedidos!$B$2:$B$301,Pedidos!$D$2:$D$301,A257))</f>
        <v/>
      </c>
      <c r="I257" s="31">
        <f>IF(OR(A257="",F257=0),"",_xlfn.MAXIFS(Pedidos!$B$2:$B$301,Pedidos!$D$2:$D$301,A257))</f>
        <v/>
      </c>
      <c r="J257" s="25" t="n"/>
    </row>
    <row r="258">
      <c r="A258" s="25" t="n"/>
      <c r="B258" s="25" t="n"/>
      <c r="C258" s="25" t="n"/>
      <c r="D258" s="25" t="n"/>
      <c r="E258" s="25" t="n"/>
      <c r="F258" s="30">
        <f>IF(A258="","",COUNTIF(Pedidos!$D$2:$D$301,A258))</f>
        <v/>
      </c>
      <c r="G258" s="27">
        <f>IF(A258="","",SUMIF(Pedidos!$D$2:$D$301,A258,Pedidos!$M$2:$M$301))</f>
        <v/>
      </c>
      <c r="H258" s="31">
        <f>IF(OR(A258="",F258=0),"",_xlfn.MINIFS(Pedidos!$B$2:$B$301,Pedidos!$D$2:$D$301,A258))</f>
        <v/>
      </c>
      <c r="I258" s="31">
        <f>IF(OR(A258="",F258=0),"",_xlfn.MAXIFS(Pedidos!$B$2:$B$301,Pedidos!$D$2:$D$301,A258))</f>
        <v/>
      </c>
      <c r="J258" s="25" t="n"/>
    </row>
    <row r="259">
      <c r="A259" s="25" t="n"/>
      <c r="B259" s="25" t="n"/>
      <c r="C259" s="25" t="n"/>
      <c r="D259" s="25" t="n"/>
      <c r="E259" s="25" t="n"/>
      <c r="F259" s="30">
        <f>IF(A259="","",COUNTIF(Pedidos!$D$2:$D$301,A259))</f>
        <v/>
      </c>
      <c r="G259" s="27">
        <f>IF(A259="","",SUMIF(Pedidos!$D$2:$D$301,A259,Pedidos!$M$2:$M$301))</f>
        <v/>
      </c>
      <c r="H259" s="31">
        <f>IF(OR(A259="",F259=0),"",_xlfn.MINIFS(Pedidos!$B$2:$B$301,Pedidos!$D$2:$D$301,A259))</f>
        <v/>
      </c>
      <c r="I259" s="31">
        <f>IF(OR(A259="",F259=0),"",_xlfn.MAXIFS(Pedidos!$B$2:$B$301,Pedidos!$D$2:$D$301,A259))</f>
        <v/>
      </c>
      <c r="J259" s="25" t="n"/>
    </row>
    <row r="260">
      <c r="A260" s="25" t="n"/>
      <c r="B260" s="25" t="n"/>
      <c r="C260" s="25" t="n"/>
      <c r="D260" s="25" t="n"/>
      <c r="E260" s="25" t="n"/>
      <c r="F260" s="30">
        <f>IF(A260="","",COUNTIF(Pedidos!$D$2:$D$301,A260))</f>
        <v/>
      </c>
      <c r="G260" s="27">
        <f>IF(A260="","",SUMIF(Pedidos!$D$2:$D$301,A260,Pedidos!$M$2:$M$301))</f>
        <v/>
      </c>
      <c r="H260" s="31">
        <f>IF(OR(A260="",F260=0),"",_xlfn.MINIFS(Pedidos!$B$2:$B$301,Pedidos!$D$2:$D$301,A260))</f>
        <v/>
      </c>
      <c r="I260" s="31">
        <f>IF(OR(A260="",F260=0),"",_xlfn.MAXIFS(Pedidos!$B$2:$B$301,Pedidos!$D$2:$D$301,A260))</f>
        <v/>
      </c>
      <c r="J260" s="25" t="n"/>
    </row>
    <row r="261">
      <c r="A261" s="25" t="n"/>
      <c r="B261" s="25" t="n"/>
      <c r="C261" s="25" t="n"/>
      <c r="D261" s="25" t="n"/>
      <c r="E261" s="25" t="n"/>
      <c r="F261" s="30">
        <f>IF(A261="","",COUNTIF(Pedidos!$D$2:$D$301,A261))</f>
        <v/>
      </c>
      <c r="G261" s="27">
        <f>IF(A261="","",SUMIF(Pedidos!$D$2:$D$301,A261,Pedidos!$M$2:$M$301))</f>
        <v/>
      </c>
      <c r="H261" s="31">
        <f>IF(OR(A261="",F261=0),"",_xlfn.MINIFS(Pedidos!$B$2:$B$301,Pedidos!$D$2:$D$301,A261))</f>
        <v/>
      </c>
      <c r="I261" s="31">
        <f>IF(OR(A261="",F261=0),"",_xlfn.MAXIFS(Pedidos!$B$2:$B$301,Pedidos!$D$2:$D$301,A261))</f>
        <v/>
      </c>
      <c r="J261" s="25" t="n"/>
    </row>
    <row r="262">
      <c r="A262" s="25" t="n"/>
      <c r="B262" s="25" t="n"/>
      <c r="C262" s="25" t="n"/>
      <c r="D262" s="25" t="n"/>
      <c r="E262" s="25" t="n"/>
      <c r="F262" s="30">
        <f>IF(A262="","",COUNTIF(Pedidos!$D$2:$D$301,A262))</f>
        <v/>
      </c>
      <c r="G262" s="27">
        <f>IF(A262="","",SUMIF(Pedidos!$D$2:$D$301,A262,Pedidos!$M$2:$M$301))</f>
        <v/>
      </c>
      <c r="H262" s="31">
        <f>IF(OR(A262="",F262=0),"",_xlfn.MINIFS(Pedidos!$B$2:$B$301,Pedidos!$D$2:$D$301,A262))</f>
        <v/>
      </c>
      <c r="I262" s="31">
        <f>IF(OR(A262="",F262=0),"",_xlfn.MAXIFS(Pedidos!$B$2:$B$301,Pedidos!$D$2:$D$301,A262))</f>
        <v/>
      </c>
      <c r="J262" s="25" t="n"/>
    </row>
    <row r="263">
      <c r="A263" s="25" t="n"/>
      <c r="B263" s="25" t="n"/>
      <c r="C263" s="25" t="n"/>
      <c r="D263" s="25" t="n"/>
      <c r="E263" s="25" t="n"/>
      <c r="F263" s="30">
        <f>IF(A263="","",COUNTIF(Pedidos!$D$2:$D$301,A263))</f>
        <v/>
      </c>
      <c r="G263" s="27">
        <f>IF(A263="","",SUMIF(Pedidos!$D$2:$D$301,A263,Pedidos!$M$2:$M$301))</f>
        <v/>
      </c>
      <c r="H263" s="31">
        <f>IF(OR(A263="",F263=0),"",_xlfn.MINIFS(Pedidos!$B$2:$B$301,Pedidos!$D$2:$D$301,A263))</f>
        <v/>
      </c>
      <c r="I263" s="31">
        <f>IF(OR(A263="",F263=0),"",_xlfn.MAXIFS(Pedidos!$B$2:$B$301,Pedidos!$D$2:$D$301,A263))</f>
        <v/>
      </c>
      <c r="J263" s="25" t="n"/>
    </row>
    <row r="264">
      <c r="A264" s="25" t="n"/>
      <c r="B264" s="25" t="n"/>
      <c r="C264" s="25" t="n"/>
      <c r="D264" s="25" t="n"/>
      <c r="E264" s="25" t="n"/>
      <c r="F264" s="30">
        <f>IF(A264="","",COUNTIF(Pedidos!$D$2:$D$301,A264))</f>
        <v/>
      </c>
      <c r="G264" s="27">
        <f>IF(A264="","",SUMIF(Pedidos!$D$2:$D$301,A264,Pedidos!$M$2:$M$301))</f>
        <v/>
      </c>
      <c r="H264" s="31">
        <f>IF(OR(A264="",F264=0),"",_xlfn.MINIFS(Pedidos!$B$2:$B$301,Pedidos!$D$2:$D$301,A264))</f>
        <v/>
      </c>
      <c r="I264" s="31">
        <f>IF(OR(A264="",F264=0),"",_xlfn.MAXIFS(Pedidos!$B$2:$B$301,Pedidos!$D$2:$D$301,A264))</f>
        <v/>
      </c>
      <c r="J264" s="25" t="n"/>
    </row>
    <row r="265">
      <c r="A265" s="25" t="n"/>
      <c r="B265" s="25" t="n"/>
      <c r="C265" s="25" t="n"/>
      <c r="D265" s="25" t="n"/>
      <c r="E265" s="25" t="n"/>
      <c r="F265" s="30">
        <f>IF(A265="","",COUNTIF(Pedidos!$D$2:$D$301,A265))</f>
        <v/>
      </c>
      <c r="G265" s="27">
        <f>IF(A265="","",SUMIF(Pedidos!$D$2:$D$301,A265,Pedidos!$M$2:$M$301))</f>
        <v/>
      </c>
      <c r="H265" s="31">
        <f>IF(OR(A265="",F265=0),"",_xlfn.MINIFS(Pedidos!$B$2:$B$301,Pedidos!$D$2:$D$301,A265))</f>
        <v/>
      </c>
      <c r="I265" s="31">
        <f>IF(OR(A265="",F265=0),"",_xlfn.MAXIFS(Pedidos!$B$2:$B$301,Pedidos!$D$2:$D$301,A265))</f>
        <v/>
      </c>
      <c r="J265" s="25" t="n"/>
    </row>
    <row r="266">
      <c r="A266" s="25" t="n"/>
      <c r="B266" s="25" t="n"/>
      <c r="C266" s="25" t="n"/>
      <c r="D266" s="25" t="n"/>
      <c r="E266" s="25" t="n"/>
      <c r="F266" s="30">
        <f>IF(A266="","",COUNTIF(Pedidos!$D$2:$D$301,A266))</f>
        <v/>
      </c>
      <c r="G266" s="27">
        <f>IF(A266="","",SUMIF(Pedidos!$D$2:$D$301,A266,Pedidos!$M$2:$M$301))</f>
        <v/>
      </c>
      <c r="H266" s="31">
        <f>IF(OR(A266="",F266=0),"",_xlfn.MINIFS(Pedidos!$B$2:$B$301,Pedidos!$D$2:$D$301,A266))</f>
        <v/>
      </c>
      <c r="I266" s="31">
        <f>IF(OR(A266="",F266=0),"",_xlfn.MAXIFS(Pedidos!$B$2:$B$301,Pedidos!$D$2:$D$301,A266))</f>
        <v/>
      </c>
      <c r="J266" s="25" t="n"/>
    </row>
    <row r="267">
      <c r="A267" s="25" t="n"/>
      <c r="B267" s="25" t="n"/>
      <c r="C267" s="25" t="n"/>
      <c r="D267" s="25" t="n"/>
      <c r="E267" s="25" t="n"/>
      <c r="F267" s="30">
        <f>IF(A267="","",COUNTIF(Pedidos!$D$2:$D$301,A267))</f>
        <v/>
      </c>
      <c r="G267" s="27">
        <f>IF(A267="","",SUMIF(Pedidos!$D$2:$D$301,A267,Pedidos!$M$2:$M$301))</f>
        <v/>
      </c>
      <c r="H267" s="31">
        <f>IF(OR(A267="",F267=0),"",_xlfn.MINIFS(Pedidos!$B$2:$B$301,Pedidos!$D$2:$D$301,A267))</f>
        <v/>
      </c>
      <c r="I267" s="31">
        <f>IF(OR(A267="",F267=0),"",_xlfn.MAXIFS(Pedidos!$B$2:$B$301,Pedidos!$D$2:$D$301,A267))</f>
        <v/>
      </c>
      <c r="J267" s="25" t="n"/>
    </row>
    <row r="268">
      <c r="A268" s="25" t="n"/>
      <c r="B268" s="25" t="n"/>
      <c r="C268" s="25" t="n"/>
      <c r="D268" s="25" t="n"/>
      <c r="E268" s="25" t="n"/>
      <c r="F268" s="30">
        <f>IF(A268="","",COUNTIF(Pedidos!$D$2:$D$301,A268))</f>
        <v/>
      </c>
      <c r="G268" s="27">
        <f>IF(A268="","",SUMIF(Pedidos!$D$2:$D$301,A268,Pedidos!$M$2:$M$301))</f>
        <v/>
      </c>
      <c r="H268" s="31">
        <f>IF(OR(A268="",F268=0),"",_xlfn.MINIFS(Pedidos!$B$2:$B$301,Pedidos!$D$2:$D$301,A268))</f>
        <v/>
      </c>
      <c r="I268" s="31">
        <f>IF(OR(A268="",F268=0),"",_xlfn.MAXIFS(Pedidos!$B$2:$B$301,Pedidos!$D$2:$D$301,A268))</f>
        <v/>
      </c>
      <c r="J268" s="25" t="n"/>
    </row>
    <row r="269">
      <c r="A269" s="25" t="n"/>
      <c r="B269" s="25" t="n"/>
      <c r="C269" s="25" t="n"/>
      <c r="D269" s="25" t="n"/>
      <c r="E269" s="25" t="n"/>
      <c r="F269" s="30">
        <f>IF(A269="","",COUNTIF(Pedidos!$D$2:$D$301,A269))</f>
        <v/>
      </c>
      <c r="G269" s="27">
        <f>IF(A269="","",SUMIF(Pedidos!$D$2:$D$301,A269,Pedidos!$M$2:$M$301))</f>
        <v/>
      </c>
      <c r="H269" s="31">
        <f>IF(OR(A269="",F269=0),"",_xlfn.MINIFS(Pedidos!$B$2:$B$301,Pedidos!$D$2:$D$301,A269))</f>
        <v/>
      </c>
      <c r="I269" s="31">
        <f>IF(OR(A269="",F269=0),"",_xlfn.MAXIFS(Pedidos!$B$2:$B$301,Pedidos!$D$2:$D$301,A269))</f>
        <v/>
      </c>
      <c r="J269" s="25" t="n"/>
    </row>
    <row r="270">
      <c r="A270" s="25" t="n"/>
      <c r="B270" s="25" t="n"/>
      <c r="C270" s="25" t="n"/>
      <c r="D270" s="25" t="n"/>
      <c r="E270" s="25" t="n"/>
      <c r="F270" s="30">
        <f>IF(A270="","",COUNTIF(Pedidos!$D$2:$D$301,A270))</f>
        <v/>
      </c>
      <c r="G270" s="27">
        <f>IF(A270="","",SUMIF(Pedidos!$D$2:$D$301,A270,Pedidos!$M$2:$M$301))</f>
        <v/>
      </c>
      <c r="H270" s="31">
        <f>IF(OR(A270="",F270=0),"",_xlfn.MINIFS(Pedidos!$B$2:$B$301,Pedidos!$D$2:$D$301,A270))</f>
        <v/>
      </c>
      <c r="I270" s="31">
        <f>IF(OR(A270="",F270=0),"",_xlfn.MAXIFS(Pedidos!$B$2:$B$301,Pedidos!$D$2:$D$301,A270))</f>
        <v/>
      </c>
      <c r="J270" s="25" t="n"/>
    </row>
    <row r="271">
      <c r="A271" s="25" t="n"/>
      <c r="B271" s="25" t="n"/>
      <c r="C271" s="25" t="n"/>
      <c r="D271" s="25" t="n"/>
      <c r="E271" s="25" t="n"/>
      <c r="F271" s="30">
        <f>IF(A271="","",COUNTIF(Pedidos!$D$2:$D$301,A271))</f>
        <v/>
      </c>
      <c r="G271" s="27">
        <f>IF(A271="","",SUMIF(Pedidos!$D$2:$D$301,A271,Pedidos!$M$2:$M$301))</f>
        <v/>
      </c>
      <c r="H271" s="31">
        <f>IF(OR(A271="",F271=0),"",_xlfn.MINIFS(Pedidos!$B$2:$B$301,Pedidos!$D$2:$D$301,A271))</f>
        <v/>
      </c>
      <c r="I271" s="31">
        <f>IF(OR(A271="",F271=0),"",_xlfn.MAXIFS(Pedidos!$B$2:$B$301,Pedidos!$D$2:$D$301,A271))</f>
        <v/>
      </c>
      <c r="J271" s="25" t="n"/>
    </row>
    <row r="272">
      <c r="A272" s="25" t="n"/>
      <c r="B272" s="25" t="n"/>
      <c r="C272" s="25" t="n"/>
      <c r="D272" s="25" t="n"/>
      <c r="E272" s="25" t="n"/>
      <c r="F272" s="30">
        <f>IF(A272="","",COUNTIF(Pedidos!$D$2:$D$301,A272))</f>
        <v/>
      </c>
      <c r="G272" s="27">
        <f>IF(A272="","",SUMIF(Pedidos!$D$2:$D$301,A272,Pedidos!$M$2:$M$301))</f>
        <v/>
      </c>
      <c r="H272" s="31">
        <f>IF(OR(A272="",F272=0),"",_xlfn.MINIFS(Pedidos!$B$2:$B$301,Pedidos!$D$2:$D$301,A272))</f>
        <v/>
      </c>
      <c r="I272" s="31">
        <f>IF(OR(A272="",F272=0),"",_xlfn.MAXIFS(Pedidos!$B$2:$B$301,Pedidos!$D$2:$D$301,A272))</f>
        <v/>
      </c>
      <c r="J272" s="25" t="n"/>
    </row>
    <row r="273">
      <c r="A273" s="25" t="n"/>
      <c r="B273" s="25" t="n"/>
      <c r="C273" s="25" t="n"/>
      <c r="D273" s="25" t="n"/>
      <c r="E273" s="25" t="n"/>
      <c r="F273" s="30">
        <f>IF(A273="","",COUNTIF(Pedidos!$D$2:$D$301,A273))</f>
        <v/>
      </c>
      <c r="G273" s="27">
        <f>IF(A273="","",SUMIF(Pedidos!$D$2:$D$301,A273,Pedidos!$M$2:$M$301))</f>
        <v/>
      </c>
      <c r="H273" s="31">
        <f>IF(OR(A273="",F273=0),"",_xlfn.MINIFS(Pedidos!$B$2:$B$301,Pedidos!$D$2:$D$301,A273))</f>
        <v/>
      </c>
      <c r="I273" s="31">
        <f>IF(OR(A273="",F273=0),"",_xlfn.MAXIFS(Pedidos!$B$2:$B$301,Pedidos!$D$2:$D$301,A273))</f>
        <v/>
      </c>
      <c r="J273" s="25" t="n"/>
    </row>
    <row r="274">
      <c r="A274" s="25" t="n"/>
      <c r="B274" s="25" t="n"/>
      <c r="C274" s="25" t="n"/>
      <c r="D274" s="25" t="n"/>
      <c r="E274" s="25" t="n"/>
      <c r="F274" s="30">
        <f>IF(A274="","",COUNTIF(Pedidos!$D$2:$D$301,A274))</f>
        <v/>
      </c>
      <c r="G274" s="27">
        <f>IF(A274="","",SUMIF(Pedidos!$D$2:$D$301,A274,Pedidos!$M$2:$M$301))</f>
        <v/>
      </c>
      <c r="H274" s="31">
        <f>IF(OR(A274="",F274=0),"",_xlfn.MINIFS(Pedidos!$B$2:$B$301,Pedidos!$D$2:$D$301,A274))</f>
        <v/>
      </c>
      <c r="I274" s="31">
        <f>IF(OR(A274="",F274=0),"",_xlfn.MAXIFS(Pedidos!$B$2:$B$301,Pedidos!$D$2:$D$301,A274))</f>
        <v/>
      </c>
      <c r="J274" s="25" t="n"/>
    </row>
    <row r="275">
      <c r="A275" s="25" t="n"/>
      <c r="B275" s="25" t="n"/>
      <c r="C275" s="25" t="n"/>
      <c r="D275" s="25" t="n"/>
      <c r="E275" s="25" t="n"/>
      <c r="F275" s="30">
        <f>IF(A275="","",COUNTIF(Pedidos!$D$2:$D$301,A275))</f>
        <v/>
      </c>
      <c r="G275" s="27">
        <f>IF(A275="","",SUMIF(Pedidos!$D$2:$D$301,A275,Pedidos!$M$2:$M$301))</f>
        <v/>
      </c>
      <c r="H275" s="31">
        <f>IF(OR(A275="",F275=0),"",_xlfn.MINIFS(Pedidos!$B$2:$B$301,Pedidos!$D$2:$D$301,A275))</f>
        <v/>
      </c>
      <c r="I275" s="31">
        <f>IF(OR(A275="",F275=0),"",_xlfn.MAXIFS(Pedidos!$B$2:$B$301,Pedidos!$D$2:$D$301,A275))</f>
        <v/>
      </c>
      <c r="J275" s="25" t="n"/>
    </row>
    <row r="276">
      <c r="A276" s="25" t="n"/>
      <c r="B276" s="25" t="n"/>
      <c r="C276" s="25" t="n"/>
      <c r="D276" s="25" t="n"/>
      <c r="E276" s="25" t="n"/>
      <c r="F276" s="30">
        <f>IF(A276="","",COUNTIF(Pedidos!$D$2:$D$301,A276))</f>
        <v/>
      </c>
      <c r="G276" s="27">
        <f>IF(A276="","",SUMIF(Pedidos!$D$2:$D$301,A276,Pedidos!$M$2:$M$301))</f>
        <v/>
      </c>
      <c r="H276" s="31">
        <f>IF(OR(A276="",F276=0),"",_xlfn.MINIFS(Pedidos!$B$2:$B$301,Pedidos!$D$2:$D$301,A276))</f>
        <v/>
      </c>
      <c r="I276" s="31">
        <f>IF(OR(A276="",F276=0),"",_xlfn.MAXIFS(Pedidos!$B$2:$B$301,Pedidos!$D$2:$D$301,A276))</f>
        <v/>
      </c>
      <c r="J276" s="25" t="n"/>
    </row>
    <row r="277">
      <c r="A277" s="25" t="n"/>
      <c r="B277" s="25" t="n"/>
      <c r="C277" s="25" t="n"/>
      <c r="D277" s="25" t="n"/>
      <c r="E277" s="25" t="n"/>
      <c r="F277" s="30">
        <f>IF(A277="","",COUNTIF(Pedidos!$D$2:$D$301,A277))</f>
        <v/>
      </c>
      <c r="G277" s="27">
        <f>IF(A277="","",SUMIF(Pedidos!$D$2:$D$301,A277,Pedidos!$M$2:$M$301))</f>
        <v/>
      </c>
      <c r="H277" s="31">
        <f>IF(OR(A277="",F277=0),"",_xlfn.MINIFS(Pedidos!$B$2:$B$301,Pedidos!$D$2:$D$301,A277))</f>
        <v/>
      </c>
      <c r="I277" s="31">
        <f>IF(OR(A277="",F277=0),"",_xlfn.MAXIFS(Pedidos!$B$2:$B$301,Pedidos!$D$2:$D$301,A277))</f>
        <v/>
      </c>
      <c r="J277" s="25" t="n"/>
    </row>
    <row r="278">
      <c r="A278" s="25" t="n"/>
      <c r="B278" s="25" t="n"/>
      <c r="C278" s="25" t="n"/>
      <c r="D278" s="25" t="n"/>
      <c r="E278" s="25" t="n"/>
      <c r="F278" s="30">
        <f>IF(A278="","",COUNTIF(Pedidos!$D$2:$D$301,A278))</f>
        <v/>
      </c>
      <c r="G278" s="27">
        <f>IF(A278="","",SUMIF(Pedidos!$D$2:$D$301,A278,Pedidos!$M$2:$M$301))</f>
        <v/>
      </c>
      <c r="H278" s="31">
        <f>IF(OR(A278="",F278=0),"",_xlfn.MINIFS(Pedidos!$B$2:$B$301,Pedidos!$D$2:$D$301,A278))</f>
        <v/>
      </c>
      <c r="I278" s="31">
        <f>IF(OR(A278="",F278=0),"",_xlfn.MAXIFS(Pedidos!$B$2:$B$301,Pedidos!$D$2:$D$301,A278))</f>
        <v/>
      </c>
      <c r="J278" s="25" t="n"/>
    </row>
    <row r="279">
      <c r="A279" s="25" t="n"/>
      <c r="B279" s="25" t="n"/>
      <c r="C279" s="25" t="n"/>
      <c r="D279" s="25" t="n"/>
      <c r="E279" s="25" t="n"/>
      <c r="F279" s="30">
        <f>IF(A279="","",COUNTIF(Pedidos!$D$2:$D$301,A279))</f>
        <v/>
      </c>
      <c r="G279" s="27">
        <f>IF(A279="","",SUMIF(Pedidos!$D$2:$D$301,A279,Pedidos!$M$2:$M$301))</f>
        <v/>
      </c>
      <c r="H279" s="31">
        <f>IF(OR(A279="",F279=0),"",_xlfn.MINIFS(Pedidos!$B$2:$B$301,Pedidos!$D$2:$D$301,A279))</f>
        <v/>
      </c>
      <c r="I279" s="31">
        <f>IF(OR(A279="",F279=0),"",_xlfn.MAXIFS(Pedidos!$B$2:$B$301,Pedidos!$D$2:$D$301,A279))</f>
        <v/>
      </c>
      <c r="J279" s="25" t="n"/>
    </row>
    <row r="280">
      <c r="A280" s="25" t="n"/>
      <c r="B280" s="25" t="n"/>
      <c r="C280" s="25" t="n"/>
      <c r="D280" s="25" t="n"/>
      <c r="E280" s="25" t="n"/>
      <c r="F280" s="30">
        <f>IF(A280="","",COUNTIF(Pedidos!$D$2:$D$301,A280))</f>
        <v/>
      </c>
      <c r="G280" s="27">
        <f>IF(A280="","",SUMIF(Pedidos!$D$2:$D$301,A280,Pedidos!$M$2:$M$301))</f>
        <v/>
      </c>
      <c r="H280" s="31">
        <f>IF(OR(A280="",F280=0),"",_xlfn.MINIFS(Pedidos!$B$2:$B$301,Pedidos!$D$2:$D$301,A280))</f>
        <v/>
      </c>
      <c r="I280" s="31">
        <f>IF(OR(A280="",F280=0),"",_xlfn.MAXIFS(Pedidos!$B$2:$B$301,Pedidos!$D$2:$D$301,A280))</f>
        <v/>
      </c>
      <c r="J280" s="25" t="n"/>
    </row>
    <row r="281">
      <c r="A281" s="25" t="n"/>
      <c r="B281" s="25" t="n"/>
      <c r="C281" s="25" t="n"/>
      <c r="D281" s="25" t="n"/>
      <c r="E281" s="25" t="n"/>
      <c r="F281" s="30">
        <f>IF(A281="","",COUNTIF(Pedidos!$D$2:$D$301,A281))</f>
        <v/>
      </c>
      <c r="G281" s="27">
        <f>IF(A281="","",SUMIF(Pedidos!$D$2:$D$301,A281,Pedidos!$M$2:$M$301))</f>
        <v/>
      </c>
      <c r="H281" s="31">
        <f>IF(OR(A281="",F281=0),"",_xlfn.MINIFS(Pedidos!$B$2:$B$301,Pedidos!$D$2:$D$301,A281))</f>
        <v/>
      </c>
      <c r="I281" s="31">
        <f>IF(OR(A281="",F281=0),"",_xlfn.MAXIFS(Pedidos!$B$2:$B$301,Pedidos!$D$2:$D$301,A281))</f>
        <v/>
      </c>
      <c r="J281" s="25" t="n"/>
    </row>
    <row r="282">
      <c r="A282" s="25" t="n"/>
      <c r="B282" s="25" t="n"/>
      <c r="C282" s="25" t="n"/>
      <c r="D282" s="25" t="n"/>
      <c r="E282" s="25" t="n"/>
      <c r="F282" s="30">
        <f>IF(A282="","",COUNTIF(Pedidos!$D$2:$D$301,A282))</f>
        <v/>
      </c>
      <c r="G282" s="27">
        <f>IF(A282="","",SUMIF(Pedidos!$D$2:$D$301,A282,Pedidos!$M$2:$M$301))</f>
        <v/>
      </c>
      <c r="H282" s="31">
        <f>IF(OR(A282="",F282=0),"",_xlfn.MINIFS(Pedidos!$B$2:$B$301,Pedidos!$D$2:$D$301,A282))</f>
        <v/>
      </c>
      <c r="I282" s="31">
        <f>IF(OR(A282="",F282=0),"",_xlfn.MAXIFS(Pedidos!$B$2:$B$301,Pedidos!$D$2:$D$301,A282))</f>
        <v/>
      </c>
      <c r="J282" s="25" t="n"/>
    </row>
    <row r="283">
      <c r="A283" s="25" t="n"/>
      <c r="B283" s="25" t="n"/>
      <c r="C283" s="25" t="n"/>
      <c r="D283" s="25" t="n"/>
      <c r="E283" s="25" t="n"/>
      <c r="F283" s="30">
        <f>IF(A283="","",COUNTIF(Pedidos!$D$2:$D$301,A283))</f>
        <v/>
      </c>
      <c r="G283" s="27">
        <f>IF(A283="","",SUMIF(Pedidos!$D$2:$D$301,A283,Pedidos!$M$2:$M$301))</f>
        <v/>
      </c>
      <c r="H283" s="31">
        <f>IF(OR(A283="",F283=0),"",_xlfn.MINIFS(Pedidos!$B$2:$B$301,Pedidos!$D$2:$D$301,A283))</f>
        <v/>
      </c>
      <c r="I283" s="31">
        <f>IF(OR(A283="",F283=0),"",_xlfn.MAXIFS(Pedidos!$B$2:$B$301,Pedidos!$D$2:$D$301,A283))</f>
        <v/>
      </c>
      <c r="J283" s="25" t="n"/>
    </row>
    <row r="284">
      <c r="A284" s="25" t="n"/>
      <c r="B284" s="25" t="n"/>
      <c r="C284" s="25" t="n"/>
      <c r="D284" s="25" t="n"/>
      <c r="E284" s="25" t="n"/>
      <c r="F284" s="30">
        <f>IF(A284="","",COUNTIF(Pedidos!$D$2:$D$301,A284))</f>
        <v/>
      </c>
      <c r="G284" s="27">
        <f>IF(A284="","",SUMIF(Pedidos!$D$2:$D$301,A284,Pedidos!$M$2:$M$301))</f>
        <v/>
      </c>
      <c r="H284" s="31">
        <f>IF(OR(A284="",F284=0),"",_xlfn.MINIFS(Pedidos!$B$2:$B$301,Pedidos!$D$2:$D$301,A284))</f>
        <v/>
      </c>
      <c r="I284" s="31">
        <f>IF(OR(A284="",F284=0),"",_xlfn.MAXIFS(Pedidos!$B$2:$B$301,Pedidos!$D$2:$D$301,A284))</f>
        <v/>
      </c>
      <c r="J284" s="25" t="n"/>
    </row>
    <row r="285">
      <c r="A285" s="25" t="n"/>
      <c r="B285" s="25" t="n"/>
      <c r="C285" s="25" t="n"/>
      <c r="D285" s="25" t="n"/>
      <c r="E285" s="25" t="n"/>
      <c r="F285" s="30">
        <f>IF(A285="","",COUNTIF(Pedidos!$D$2:$D$301,A285))</f>
        <v/>
      </c>
      <c r="G285" s="27">
        <f>IF(A285="","",SUMIF(Pedidos!$D$2:$D$301,A285,Pedidos!$M$2:$M$301))</f>
        <v/>
      </c>
      <c r="H285" s="31">
        <f>IF(OR(A285="",F285=0),"",_xlfn.MINIFS(Pedidos!$B$2:$B$301,Pedidos!$D$2:$D$301,A285))</f>
        <v/>
      </c>
      <c r="I285" s="31">
        <f>IF(OR(A285="",F285=0),"",_xlfn.MAXIFS(Pedidos!$B$2:$B$301,Pedidos!$D$2:$D$301,A285))</f>
        <v/>
      </c>
      <c r="J285" s="25" t="n"/>
    </row>
    <row r="286">
      <c r="A286" s="25" t="n"/>
      <c r="B286" s="25" t="n"/>
      <c r="C286" s="25" t="n"/>
      <c r="D286" s="25" t="n"/>
      <c r="E286" s="25" t="n"/>
      <c r="F286" s="30">
        <f>IF(A286="","",COUNTIF(Pedidos!$D$2:$D$301,A286))</f>
        <v/>
      </c>
      <c r="G286" s="27">
        <f>IF(A286="","",SUMIF(Pedidos!$D$2:$D$301,A286,Pedidos!$M$2:$M$301))</f>
        <v/>
      </c>
      <c r="H286" s="31">
        <f>IF(OR(A286="",F286=0),"",_xlfn.MINIFS(Pedidos!$B$2:$B$301,Pedidos!$D$2:$D$301,A286))</f>
        <v/>
      </c>
      <c r="I286" s="31">
        <f>IF(OR(A286="",F286=0),"",_xlfn.MAXIFS(Pedidos!$B$2:$B$301,Pedidos!$D$2:$D$301,A286))</f>
        <v/>
      </c>
      <c r="J286" s="25" t="n"/>
    </row>
    <row r="287">
      <c r="A287" s="25" t="n"/>
      <c r="B287" s="25" t="n"/>
      <c r="C287" s="25" t="n"/>
      <c r="D287" s="25" t="n"/>
      <c r="E287" s="25" t="n"/>
      <c r="F287" s="30">
        <f>IF(A287="","",COUNTIF(Pedidos!$D$2:$D$301,A287))</f>
        <v/>
      </c>
      <c r="G287" s="27">
        <f>IF(A287="","",SUMIF(Pedidos!$D$2:$D$301,A287,Pedidos!$M$2:$M$301))</f>
        <v/>
      </c>
      <c r="H287" s="31">
        <f>IF(OR(A287="",F287=0),"",_xlfn.MINIFS(Pedidos!$B$2:$B$301,Pedidos!$D$2:$D$301,A287))</f>
        <v/>
      </c>
      <c r="I287" s="31">
        <f>IF(OR(A287="",F287=0),"",_xlfn.MAXIFS(Pedidos!$B$2:$B$301,Pedidos!$D$2:$D$301,A287))</f>
        <v/>
      </c>
      <c r="J287" s="25" t="n"/>
    </row>
    <row r="288">
      <c r="A288" s="25" t="n"/>
      <c r="B288" s="25" t="n"/>
      <c r="C288" s="25" t="n"/>
      <c r="D288" s="25" t="n"/>
      <c r="E288" s="25" t="n"/>
      <c r="F288" s="30">
        <f>IF(A288="","",COUNTIF(Pedidos!$D$2:$D$301,A288))</f>
        <v/>
      </c>
      <c r="G288" s="27">
        <f>IF(A288="","",SUMIF(Pedidos!$D$2:$D$301,A288,Pedidos!$M$2:$M$301))</f>
        <v/>
      </c>
      <c r="H288" s="31">
        <f>IF(OR(A288="",F288=0),"",_xlfn.MINIFS(Pedidos!$B$2:$B$301,Pedidos!$D$2:$D$301,A288))</f>
        <v/>
      </c>
      <c r="I288" s="31">
        <f>IF(OR(A288="",F288=0),"",_xlfn.MAXIFS(Pedidos!$B$2:$B$301,Pedidos!$D$2:$D$301,A288))</f>
        <v/>
      </c>
      <c r="J288" s="25" t="n"/>
    </row>
    <row r="289">
      <c r="A289" s="25" t="n"/>
      <c r="B289" s="25" t="n"/>
      <c r="C289" s="25" t="n"/>
      <c r="D289" s="25" t="n"/>
      <c r="E289" s="25" t="n"/>
      <c r="F289" s="30">
        <f>IF(A289="","",COUNTIF(Pedidos!$D$2:$D$301,A289))</f>
        <v/>
      </c>
      <c r="G289" s="27">
        <f>IF(A289="","",SUMIF(Pedidos!$D$2:$D$301,A289,Pedidos!$M$2:$M$301))</f>
        <v/>
      </c>
      <c r="H289" s="31">
        <f>IF(OR(A289="",F289=0),"",_xlfn.MINIFS(Pedidos!$B$2:$B$301,Pedidos!$D$2:$D$301,A289))</f>
        <v/>
      </c>
      <c r="I289" s="31">
        <f>IF(OR(A289="",F289=0),"",_xlfn.MAXIFS(Pedidos!$B$2:$B$301,Pedidos!$D$2:$D$301,A289))</f>
        <v/>
      </c>
      <c r="J289" s="25" t="n"/>
    </row>
    <row r="290">
      <c r="A290" s="25" t="n"/>
      <c r="B290" s="25" t="n"/>
      <c r="C290" s="25" t="n"/>
      <c r="D290" s="25" t="n"/>
      <c r="E290" s="25" t="n"/>
      <c r="F290" s="30">
        <f>IF(A290="","",COUNTIF(Pedidos!$D$2:$D$301,A290))</f>
        <v/>
      </c>
      <c r="G290" s="27">
        <f>IF(A290="","",SUMIF(Pedidos!$D$2:$D$301,A290,Pedidos!$M$2:$M$301))</f>
        <v/>
      </c>
      <c r="H290" s="31">
        <f>IF(OR(A290="",F290=0),"",_xlfn.MINIFS(Pedidos!$B$2:$B$301,Pedidos!$D$2:$D$301,A290))</f>
        <v/>
      </c>
      <c r="I290" s="31">
        <f>IF(OR(A290="",F290=0),"",_xlfn.MAXIFS(Pedidos!$B$2:$B$301,Pedidos!$D$2:$D$301,A290))</f>
        <v/>
      </c>
      <c r="J290" s="25" t="n"/>
    </row>
    <row r="291">
      <c r="A291" s="25" t="n"/>
      <c r="B291" s="25" t="n"/>
      <c r="C291" s="25" t="n"/>
      <c r="D291" s="25" t="n"/>
      <c r="E291" s="25" t="n"/>
      <c r="F291" s="30">
        <f>IF(A291="","",COUNTIF(Pedidos!$D$2:$D$301,A291))</f>
        <v/>
      </c>
      <c r="G291" s="27">
        <f>IF(A291="","",SUMIF(Pedidos!$D$2:$D$301,A291,Pedidos!$M$2:$M$301))</f>
        <v/>
      </c>
      <c r="H291" s="31">
        <f>IF(OR(A291="",F291=0),"",_xlfn.MINIFS(Pedidos!$B$2:$B$301,Pedidos!$D$2:$D$301,A291))</f>
        <v/>
      </c>
      <c r="I291" s="31">
        <f>IF(OR(A291="",F291=0),"",_xlfn.MAXIFS(Pedidos!$B$2:$B$301,Pedidos!$D$2:$D$301,A291))</f>
        <v/>
      </c>
      <c r="J291" s="25" t="n"/>
    </row>
    <row r="292">
      <c r="A292" s="25" t="n"/>
      <c r="B292" s="25" t="n"/>
      <c r="C292" s="25" t="n"/>
      <c r="D292" s="25" t="n"/>
      <c r="E292" s="25" t="n"/>
      <c r="F292" s="30">
        <f>IF(A292="","",COUNTIF(Pedidos!$D$2:$D$301,A292))</f>
        <v/>
      </c>
      <c r="G292" s="27">
        <f>IF(A292="","",SUMIF(Pedidos!$D$2:$D$301,A292,Pedidos!$M$2:$M$301))</f>
        <v/>
      </c>
      <c r="H292" s="31">
        <f>IF(OR(A292="",F292=0),"",_xlfn.MINIFS(Pedidos!$B$2:$B$301,Pedidos!$D$2:$D$301,A292))</f>
        <v/>
      </c>
      <c r="I292" s="31">
        <f>IF(OR(A292="",F292=0),"",_xlfn.MAXIFS(Pedidos!$B$2:$B$301,Pedidos!$D$2:$D$301,A292))</f>
        <v/>
      </c>
      <c r="J292" s="25" t="n"/>
    </row>
    <row r="293">
      <c r="A293" s="25" t="n"/>
      <c r="B293" s="25" t="n"/>
      <c r="C293" s="25" t="n"/>
      <c r="D293" s="25" t="n"/>
      <c r="E293" s="25" t="n"/>
      <c r="F293" s="30">
        <f>IF(A293="","",COUNTIF(Pedidos!$D$2:$D$301,A293))</f>
        <v/>
      </c>
      <c r="G293" s="27">
        <f>IF(A293="","",SUMIF(Pedidos!$D$2:$D$301,A293,Pedidos!$M$2:$M$301))</f>
        <v/>
      </c>
      <c r="H293" s="31">
        <f>IF(OR(A293="",F293=0),"",_xlfn.MINIFS(Pedidos!$B$2:$B$301,Pedidos!$D$2:$D$301,A293))</f>
        <v/>
      </c>
      <c r="I293" s="31">
        <f>IF(OR(A293="",F293=0),"",_xlfn.MAXIFS(Pedidos!$B$2:$B$301,Pedidos!$D$2:$D$301,A293))</f>
        <v/>
      </c>
      <c r="J293" s="25" t="n"/>
    </row>
    <row r="294">
      <c r="A294" s="25" t="n"/>
      <c r="B294" s="25" t="n"/>
      <c r="C294" s="25" t="n"/>
      <c r="D294" s="25" t="n"/>
      <c r="E294" s="25" t="n"/>
      <c r="F294" s="30">
        <f>IF(A294="","",COUNTIF(Pedidos!$D$2:$D$301,A294))</f>
        <v/>
      </c>
      <c r="G294" s="27">
        <f>IF(A294="","",SUMIF(Pedidos!$D$2:$D$301,A294,Pedidos!$M$2:$M$301))</f>
        <v/>
      </c>
      <c r="H294" s="31">
        <f>IF(OR(A294="",F294=0),"",_xlfn.MINIFS(Pedidos!$B$2:$B$301,Pedidos!$D$2:$D$301,A294))</f>
        <v/>
      </c>
      <c r="I294" s="31">
        <f>IF(OR(A294="",F294=0),"",_xlfn.MAXIFS(Pedidos!$B$2:$B$301,Pedidos!$D$2:$D$301,A294))</f>
        <v/>
      </c>
      <c r="J294" s="25" t="n"/>
    </row>
    <row r="295">
      <c r="A295" s="25" t="n"/>
      <c r="B295" s="25" t="n"/>
      <c r="C295" s="25" t="n"/>
      <c r="D295" s="25" t="n"/>
      <c r="E295" s="25" t="n"/>
      <c r="F295" s="30">
        <f>IF(A295="","",COUNTIF(Pedidos!$D$2:$D$301,A295))</f>
        <v/>
      </c>
      <c r="G295" s="27">
        <f>IF(A295="","",SUMIF(Pedidos!$D$2:$D$301,A295,Pedidos!$M$2:$M$301))</f>
        <v/>
      </c>
      <c r="H295" s="31">
        <f>IF(OR(A295="",F295=0),"",_xlfn.MINIFS(Pedidos!$B$2:$B$301,Pedidos!$D$2:$D$301,A295))</f>
        <v/>
      </c>
      <c r="I295" s="31">
        <f>IF(OR(A295="",F295=0),"",_xlfn.MAXIFS(Pedidos!$B$2:$B$301,Pedidos!$D$2:$D$301,A295))</f>
        <v/>
      </c>
      <c r="J295" s="25" t="n"/>
    </row>
    <row r="296">
      <c r="A296" s="25" t="n"/>
      <c r="B296" s="25" t="n"/>
      <c r="C296" s="25" t="n"/>
      <c r="D296" s="25" t="n"/>
      <c r="E296" s="25" t="n"/>
      <c r="F296" s="30">
        <f>IF(A296="","",COUNTIF(Pedidos!$D$2:$D$301,A296))</f>
        <v/>
      </c>
      <c r="G296" s="27">
        <f>IF(A296="","",SUMIF(Pedidos!$D$2:$D$301,A296,Pedidos!$M$2:$M$301))</f>
        <v/>
      </c>
      <c r="H296" s="31">
        <f>IF(OR(A296="",F296=0),"",_xlfn.MINIFS(Pedidos!$B$2:$B$301,Pedidos!$D$2:$D$301,A296))</f>
        <v/>
      </c>
      <c r="I296" s="31">
        <f>IF(OR(A296="",F296=0),"",_xlfn.MAXIFS(Pedidos!$B$2:$B$301,Pedidos!$D$2:$D$301,A296))</f>
        <v/>
      </c>
      <c r="J296" s="25" t="n"/>
    </row>
    <row r="297">
      <c r="A297" s="25" t="n"/>
      <c r="B297" s="25" t="n"/>
      <c r="C297" s="25" t="n"/>
      <c r="D297" s="25" t="n"/>
      <c r="E297" s="25" t="n"/>
      <c r="F297" s="30">
        <f>IF(A297="","",COUNTIF(Pedidos!$D$2:$D$301,A297))</f>
        <v/>
      </c>
      <c r="G297" s="27">
        <f>IF(A297="","",SUMIF(Pedidos!$D$2:$D$301,A297,Pedidos!$M$2:$M$301))</f>
        <v/>
      </c>
      <c r="H297" s="31">
        <f>IF(OR(A297="",F297=0),"",_xlfn.MINIFS(Pedidos!$B$2:$B$301,Pedidos!$D$2:$D$301,A297))</f>
        <v/>
      </c>
      <c r="I297" s="31">
        <f>IF(OR(A297="",F297=0),"",_xlfn.MAXIFS(Pedidos!$B$2:$B$301,Pedidos!$D$2:$D$301,A297))</f>
        <v/>
      </c>
      <c r="J297" s="25" t="n"/>
    </row>
    <row r="298">
      <c r="A298" s="25" t="n"/>
      <c r="B298" s="25" t="n"/>
      <c r="C298" s="25" t="n"/>
      <c r="D298" s="25" t="n"/>
      <c r="E298" s="25" t="n"/>
      <c r="F298" s="30">
        <f>IF(A298="","",COUNTIF(Pedidos!$D$2:$D$301,A298))</f>
        <v/>
      </c>
      <c r="G298" s="27">
        <f>IF(A298="","",SUMIF(Pedidos!$D$2:$D$301,A298,Pedidos!$M$2:$M$301))</f>
        <v/>
      </c>
      <c r="H298" s="31">
        <f>IF(OR(A298="",F298=0),"",_xlfn.MINIFS(Pedidos!$B$2:$B$301,Pedidos!$D$2:$D$301,A298))</f>
        <v/>
      </c>
      <c r="I298" s="31">
        <f>IF(OR(A298="",F298=0),"",_xlfn.MAXIFS(Pedidos!$B$2:$B$301,Pedidos!$D$2:$D$301,A298))</f>
        <v/>
      </c>
      <c r="J298" s="25" t="n"/>
    </row>
    <row r="299">
      <c r="A299" s="25" t="n"/>
      <c r="B299" s="25" t="n"/>
      <c r="C299" s="25" t="n"/>
      <c r="D299" s="25" t="n"/>
      <c r="E299" s="25" t="n"/>
      <c r="F299" s="30">
        <f>IF(A299="","",COUNTIF(Pedidos!$D$2:$D$301,A299))</f>
        <v/>
      </c>
      <c r="G299" s="27">
        <f>IF(A299="","",SUMIF(Pedidos!$D$2:$D$301,A299,Pedidos!$M$2:$M$301))</f>
        <v/>
      </c>
      <c r="H299" s="31">
        <f>IF(OR(A299="",F299=0),"",_xlfn.MINIFS(Pedidos!$B$2:$B$301,Pedidos!$D$2:$D$301,A299))</f>
        <v/>
      </c>
      <c r="I299" s="31">
        <f>IF(OR(A299="",F299=0),"",_xlfn.MAXIFS(Pedidos!$B$2:$B$301,Pedidos!$D$2:$D$301,A299))</f>
        <v/>
      </c>
      <c r="J299" s="25" t="n"/>
    </row>
    <row r="300">
      <c r="A300" s="25" t="n"/>
      <c r="B300" s="25" t="n"/>
      <c r="C300" s="25" t="n"/>
      <c r="D300" s="25" t="n"/>
      <c r="E300" s="25" t="n"/>
      <c r="F300" s="30">
        <f>IF(A300="","",COUNTIF(Pedidos!$D$2:$D$301,A300))</f>
        <v/>
      </c>
      <c r="G300" s="27">
        <f>IF(A300="","",SUMIF(Pedidos!$D$2:$D$301,A300,Pedidos!$M$2:$M$301))</f>
        <v/>
      </c>
      <c r="H300" s="31">
        <f>IF(OR(A300="",F300=0),"",_xlfn.MINIFS(Pedidos!$B$2:$B$301,Pedidos!$D$2:$D$301,A300))</f>
        <v/>
      </c>
      <c r="I300" s="31">
        <f>IF(OR(A300="",F300=0),"",_xlfn.MAXIFS(Pedidos!$B$2:$B$301,Pedidos!$D$2:$D$301,A300))</f>
        <v/>
      </c>
      <c r="J300" s="25" t="n"/>
    </row>
    <row r="301">
      <c r="A301" s="25" t="n"/>
      <c r="B301" s="25" t="n"/>
      <c r="C301" s="25" t="n"/>
      <c r="D301" s="25" t="n"/>
      <c r="E301" s="25" t="n"/>
      <c r="F301" s="30">
        <f>IF(A301="","",COUNTIF(Pedidos!$D$2:$D$301,A301))</f>
        <v/>
      </c>
      <c r="G301" s="27">
        <f>IF(A301="","",SUMIF(Pedidos!$D$2:$D$301,A301,Pedidos!$M$2:$M$301))</f>
        <v/>
      </c>
      <c r="H301" s="31">
        <f>IF(OR(A301="",F301=0),"",_xlfn.MINIFS(Pedidos!$B$2:$B$301,Pedidos!$D$2:$D$301,A301))</f>
        <v/>
      </c>
      <c r="I301" s="31">
        <f>IF(OR(A301="",F301=0),"",_xlfn.MAXIFS(Pedidos!$B$2:$B$301,Pedidos!$D$2:$D$301,A301))</f>
        <v/>
      </c>
      <c r="J301" s="25" t="n"/>
    </row>
  </sheetData>
  <dataValidations count="1">
    <dataValidation sqref="E2:E30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1" customWidth="1" min="11" max="11"/>
    <col width="14" customWidth="1" min="12" max="12"/>
    <col width="30" customWidth="1" min="13" max="13"/>
  </cols>
  <sheetData>
    <row r="1" ht="34" customHeight="1">
      <c r="A1" s="18" t="inlineStr">
        <is>
          <t>Fecha</t>
        </is>
      </c>
      <c r="B1" s="18" t="inlineStr">
        <is>
          <t>Email</t>
        </is>
      </c>
      <c r="C1" s="18" t="inlineStr">
        <is>
          <t>Nombre</t>
        </is>
      </c>
      <c r="D1" s="18" t="inlineStr">
        <is>
          <t>Productos</t>
        </is>
      </c>
      <c r="E1" s="18" t="inlineStr">
        <is>
          <t>Importe (€)</t>
        </is>
      </c>
      <c r="F1" s="18" t="inlineStr">
        <is>
          <t>Acepta marketing</t>
        </is>
      </c>
      <c r="G1" s="18" t="inlineStr">
        <is>
          <t>Email 1 (1 h)</t>
        </is>
      </c>
      <c r="H1" s="18" t="inlineStr">
        <is>
          <t>Email 2 (24 h)</t>
        </is>
      </c>
      <c r="I1" s="18" t="inlineStr">
        <is>
          <t>Email 3 (48 h)</t>
        </is>
      </c>
      <c r="J1" s="18" t="inlineStr">
        <is>
          <t>Código ofrecido</t>
        </is>
      </c>
      <c r="K1" s="18" t="inlineStr">
        <is>
          <t>Recuperado</t>
        </is>
      </c>
      <c r="L1" s="18" t="inlineStr">
        <is>
          <t>Nº pedido recuperado</t>
        </is>
      </c>
      <c r="M1" s="18" t="inlineStr">
        <is>
          <t>Notas</t>
        </is>
      </c>
    </row>
    <row r="2">
      <c r="A2" s="26" t="n"/>
      <c r="B2" s="25" t="n"/>
      <c r="C2" s="25" t="n"/>
      <c r="D2" s="25" t="n"/>
      <c r="E2" s="16" t="n"/>
      <c r="F2" s="25" t="n"/>
      <c r="G2" s="26" t="n"/>
      <c r="H2" s="26" t="n"/>
      <c r="I2" s="26" t="n"/>
      <c r="J2" s="25" t="n"/>
      <c r="K2" s="25" t="n"/>
      <c r="L2" s="25" t="n"/>
      <c r="M2" s="25" t="n"/>
    </row>
    <row r="3">
      <c r="A3" s="26" t="n"/>
      <c r="B3" s="25" t="n"/>
      <c r="C3" s="25" t="n"/>
      <c r="D3" s="25" t="n"/>
      <c r="E3" s="16" t="n"/>
      <c r="F3" s="25" t="n"/>
      <c r="G3" s="26" t="n"/>
      <c r="H3" s="26" t="n"/>
      <c r="I3" s="26" t="n"/>
      <c r="J3" s="25" t="n"/>
      <c r="K3" s="25" t="n"/>
      <c r="L3" s="25" t="n"/>
      <c r="M3" s="25" t="n"/>
    </row>
    <row r="4">
      <c r="A4" s="26" t="n"/>
      <c r="B4" s="25" t="n"/>
      <c r="C4" s="25" t="n"/>
      <c r="D4" s="25" t="n"/>
      <c r="E4" s="16" t="n"/>
      <c r="F4" s="25" t="n"/>
      <c r="G4" s="26" t="n"/>
      <c r="H4" s="26" t="n"/>
      <c r="I4" s="26" t="n"/>
      <c r="J4" s="25" t="n"/>
      <c r="K4" s="25" t="n"/>
      <c r="L4" s="25" t="n"/>
      <c r="M4" s="25" t="n"/>
    </row>
    <row r="5">
      <c r="A5" s="26" t="n"/>
      <c r="B5" s="25" t="n"/>
      <c r="C5" s="25" t="n"/>
      <c r="D5" s="25" t="n"/>
      <c r="E5" s="16" t="n"/>
      <c r="F5" s="25" t="n"/>
      <c r="G5" s="26" t="n"/>
      <c r="H5" s="26" t="n"/>
      <c r="I5" s="26" t="n"/>
      <c r="J5" s="25" t="n"/>
      <c r="K5" s="25" t="n"/>
      <c r="L5" s="25" t="n"/>
      <c r="M5" s="25" t="n"/>
    </row>
    <row r="6">
      <c r="A6" s="26" t="n"/>
      <c r="B6" s="25" t="n"/>
      <c r="C6" s="25" t="n"/>
      <c r="D6" s="25" t="n"/>
      <c r="E6" s="16" t="n"/>
      <c r="F6" s="25" t="n"/>
      <c r="G6" s="26" t="n"/>
      <c r="H6" s="26" t="n"/>
      <c r="I6" s="26" t="n"/>
      <c r="J6" s="25" t="n"/>
      <c r="K6" s="25" t="n"/>
      <c r="L6" s="25" t="n"/>
      <c r="M6" s="25" t="n"/>
    </row>
    <row r="7">
      <c r="A7" s="26" t="n"/>
      <c r="B7" s="25" t="n"/>
      <c r="C7" s="25" t="n"/>
      <c r="D7" s="25" t="n"/>
      <c r="E7" s="16" t="n"/>
      <c r="F7" s="25" t="n"/>
      <c r="G7" s="26" t="n"/>
      <c r="H7" s="26" t="n"/>
      <c r="I7" s="26" t="n"/>
      <c r="J7" s="25" t="n"/>
      <c r="K7" s="25" t="n"/>
      <c r="L7" s="25" t="n"/>
      <c r="M7" s="25" t="n"/>
    </row>
    <row r="8">
      <c r="A8" s="26" t="n"/>
      <c r="B8" s="25" t="n"/>
      <c r="C8" s="25" t="n"/>
      <c r="D8" s="25" t="n"/>
      <c r="E8" s="16" t="n"/>
      <c r="F8" s="25" t="n"/>
      <c r="G8" s="26" t="n"/>
      <c r="H8" s="26" t="n"/>
      <c r="I8" s="26" t="n"/>
      <c r="J8" s="25" t="n"/>
      <c r="K8" s="25" t="n"/>
      <c r="L8" s="25" t="n"/>
      <c r="M8" s="25" t="n"/>
    </row>
    <row r="9">
      <c r="A9" s="26" t="n"/>
      <c r="B9" s="25" t="n"/>
      <c r="C9" s="25" t="n"/>
      <c r="D9" s="25" t="n"/>
      <c r="E9" s="16" t="n"/>
      <c r="F9" s="25" t="n"/>
      <c r="G9" s="26" t="n"/>
      <c r="H9" s="26" t="n"/>
      <c r="I9" s="26" t="n"/>
      <c r="J9" s="25" t="n"/>
      <c r="K9" s="25" t="n"/>
      <c r="L9" s="25" t="n"/>
      <c r="M9" s="25" t="n"/>
    </row>
    <row r="10">
      <c r="A10" s="26" t="n"/>
      <c r="B10" s="25" t="n"/>
      <c r="C10" s="25" t="n"/>
      <c r="D10" s="25" t="n"/>
      <c r="E10" s="16" t="n"/>
      <c r="F10" s="25" t="n"/>
      <c r="G10" s="26" t="n"/>
      <c r="H10" s="26" t="n"/>
      <c r="I10" s="26" t="n"/>
      <c r="J10" s="25" t="n"/>
      <c r="K10" s="25" t="n"/>
      <c r="L10" s="25" t="n"/>
      <c r="M10" s="25" t="n"/>
    </row>
    <row r="11">
      <c r="A11" s="26" t="n"/>
      <c r="B11" s="25" t="n"/>
      <c r="C11" s="25" t="n"/>
      <c r="D11" s="25" t="n"/>
      <c r="E11" s="16" t="n"/>
      <c r="F11" s="25" t="n"/>
      <c r="G11" s="26" t="n"/>
      <c r="H11" s="26" t="n"/>
      <c r="I11" s="26" t="n"/>
      <c r="J11" s="25" t="n"/>
      <c r="K11" s="25" t="n"/>
      <c r="L11" s="25" t="n"/>
      <c r="M11" s="25" t="n"/>
    </row>
    <row r="12">
      <c r="A12" s="26" t="n"/>
      <c r="B12" s="25" t="n"/>
      <c r="C12" s="25" t="n"/>
      <c r="D12" s="25" t="n"/>
      <c r="E12" s="16" t="n"/>
      <c r="F12" s="25" t="n"/>
      <c r="G12" s="26" t="n"/>
      <c r="H12" s="26" t="n"/>
      <c r="I12" s="26" t="n"/>
      <c r="J12" s="25" t="n"/>
      <c r="K12" s="25" t="n"/>
      <c r="L12" s="25" t="n"/>
      <c r="M12" s="25" t="n"/>
    </row>
    <row r="13">
      <c r="A13" s="26" t="n"/>
      <c r="B13" s="25" t="n"/>
      <c r="C13" s="25" t="n"/>
      <c r="D13" s="25" t="n"/>
      <c r="E13" s="16" t="n"/>
      <c r="F13" s="25" t="n"/>
      <c r="G13" s="26" t="n"/>
      <c r="H13" s="26" t="n"/>
      <c r="I13" s="26" t="n"/>
      <c r="J13" s="25" t="n"/>
      <c r="K13" s="25" t="n"/>
      <c r="L13" s="25" t="n"/>
      <c r="M13" s="25" t="n"/>
    </row>
    <row r="14">
      <c r="A14" s="26" t="n"/>
      <c r="B14" s="25" t="n"/>
      <c r="C14" s="25" t="n"/>
      <c r="D14" s="25" t="n"/>
      <c r="E14" s="16" t="n"/>
      <c r="F14" s="25" t="n"/>
      <c r="G14" s="26" t="n"/>
      <c r="H14" s="26" t="n"/>
      <c r="I14" s="26" t="n"/>
      <c r="J14" s="25" t="n"/>
      <c r="K14" s="25" t="n"/>
      <c r="L14" s="25" t="n"/>
      <c r="M14" s="25" t="n"/>
    </row>
    <row r="15">
      <c r="A15" s="26" t="n"/>
      <c r="B15" s="25" t="n"/>
      <c r="C15" s="25" t="n"/>
      <c r="D15" s="25" t="n"/>
      <c r="E15" s="16" t="n"/>
      <c r="F15" s="25" t="n"/>
      <c r="G15" s="26" t="n"/>
      <c r="H15" s="26" t="n"/>
      <c r="I15" s="26" t="n"/>
      <c r="J15" s="25" t="n"/>
      <c r="K15" s="25" t="n"/>
      <c r="L15" s="25" t="n"/>
      <c r="M15" s="25" t="n"/>
    </row>
    <row r="16">
      <c r="A16" s="26" t="n"/>
      <c r="B16" s="25" t="n"/>
      <c r="C16" s="25" t="n"/>
      <c r="D16" s="25" t="n"/>
      <c r="E16" s="16" t="n"/>
      <c r="F16" s="25" t="n"/>
      <c r="G16" s="26" t="n"/>
      <c r="H16" s="26" t="n"/>
      <c r="I16" s="26" t="n"/>
      <c r="J16" s="25" t="n"/>
      <c r="K16" s="25" t="n"/>
      <c r="L16" s="25" t="n"/>
      <c r="M16" s="25" t="n"/>
    </row>
    <row r="17">
      <c r="A17" s="26" t="n"/>
      <c r="B17" s="25" t="n"/>
      <c r="C17" s="25" t="n"/>
      <c r="D17" s="25" t="n"/>
      <c r="E17" s="16" t="n"/>
      <c r="F17" s="25" t="n"/>
      <c r="G17" s="26" t="n"/>
      <c r="H17" s="26" t="n"/>
      <c r="I17" s="26" t="n"/>
      <c r="J17" s="25" t="n"/>
      <c r="K17" s="25" t="n"/>
      <c r="L17" s="25" t="n"/>
      <c r="M17" s="25" t="n"/>
    </row>
    <row r="18">
      <c r="A18" s="26" t="n"/>
      <c r="B18" s="25" t="n"/>
      <c r="C18" s="25" t="n"/>
      <c r="D18" s="25" t="n"/>
      <c r="E18" s="16" t="n"/>
      <c r="F18" s="25" t="n"/>
      <c r="G18" s="26" t="n"/>
      <c r="H18" s="26" t="n"/>
      <c r="I18" s="26" t="n"/>
      <c r="J18" s="25" t="n"/>
      <c r="K18" s="25" t="n"/>
      <c r="L18" s="25" t="n"/>
      <c r="M18" s="25" t="n"/>
    </row>
    <row r="19">
      <c r="A19" s="26" t="n"/>
      <c r="B19" s="25" t="n"/>
      <c r="C19" s="25" t="n"/>
      <c r="D19" s="25" t="n"/>
      <c r="E19" s="16" t="n"/>
      <c r="F19" s="25" t="n"/>
      <c r="G19" s="26" t="n"/>
      <c r="H19" s="26" t="n"/>
      <c r="I19" s="26" t="n"/>
      <c r="J19" s="25" t="n"/>
      <c r="K19" s="25" t="n"/>
      <c r="L19" s="25" t="n"/>
      <c r="M19" s="25" t="n"/>
    </row>
    <row r="20">
      <c r="A20" s="26" t="n"/>
      <c r="B20" s="25" t="n"/>
      <c r="C20" s="25" t="n"/>
      <c r="D20" s="25" t="n"/>
      <c r="E20" s="16" t="n"/>
      <c r="F20" s="25" t="n"/>
      <c r="G20" s="26" t="n"/>
      <c r="H20" s="26" t="n"/>
      <c r="I20" s="26" t="n"/>
      <c r="J20" s="25" t="n"/>
      <c r="K20" s="25" t="n"/>
      <c r="L20" s="25" t="n"/>
      <c r="M20" s="25" t="n"/>
    </row>
    <row r="21">
      <c r="A21" s="26" t="n"/>
      <c r="B21" s="25" t="n"/>
      <c r="C21" s="25" t="n"/>
      <c r="D21" s="25" t="n"/>
      <c r="E21" s="16" t="n"/>
      <c r="F21" s="25" t="n"/>
      <c r="G21" s="26" t="n"/>
      <c r="H21" s="26" t="n"/>
      <c r="I21" s="26" t="n"/>
      <c r="J21" s="25" t="n"/>
      <c r="K21" s="25" t="n"/>
      <c r="L21" s="25" t="n"/>
      <c r="M21" s="25" t="n"/>
    </row>
    <row r="22">
      <c r="A22" s="26" t="n"/>
      <c r="B22" s="25" t="n"/>
      <c r="C22" s="25" t="n"/>
      <c r="D22" s="25" t="n"/>
      <c r="E22" s="16" t="n"/>
      <c r="F22" s="25" t="n"/>
      <c r="G22" s="26" t="n"/>
      <c r="H22" s="26" t="n"/>
      <c r="I22" s="26" t="n"/>
      <c r="J22" s="25" t="n"/>
      <c r="K22" s="25" t="n"/>
      <c r="L22" s="25" t="n"/>
      <c r="M22" s="25" t="n"/>
    </row>
    <row r="23">
      <c r="A23" s="26" t="n"/>
      <c r="B23" s="25" t="n"/>
      <c r="C23" s="25" t="n"/>
      <c r="D23" s="25" t="n"/>
      <c r="E23" s="16" t="n"/>
      <c r="F23" s="25" t="n"/>
      <c r="G23" s="26" t="n"/>
      <c r="H23" s="26" t="n"/>
      <c r="I23" s="26" t="n"/>
      <c r="J23" s="25" t="n"/>
      <c r="K23" s="25" t="n"/>
      <c r="L23" s="25" t="n"/>
      <c r="M23" s="25" t="n"/>
    </row>
    <row r="24">
      <c r="A24" s="26" t="n"/>
      <c r="B24" s="25" t="n"/>
      <c r="C24" s="25" t="n"/>
      <c r="D24" s="25" t="n"/>
      <c r="E24" s="16" t="n"/>
      <c r="F24" s="25" t="n"/>
      <c r="G24" s="26" t="n"/>
      <c r="H24" s="26" t="n"/>
      <c r="I24" s="26" t="n"/>
      <c r="J24" s="25" t="n"/>
      <c r="K24" s="25" t="n"/>
      <c r="L24" s="25" t="n"/>
      <c r="M24" s="25" t="n"/>
    </row>
    <row r="25">
      <c r="A25" s="26" t="n"/>
      <c r="B25" s="25" t="n"/>
      <c r="C25" s="25" t="n"/>
      <c r="D25" s="25" t="n"/>
      <c r="E25" s="16" t="n"/>
      <c r="F25" s="25" t="n"/>
      <c r="G25" s="26" t="n"/>
      <c r="H25" s="26" t="n"/>
      <c r="I25" s="26" t="n"/>
      <c r="J25" s="25" t="n"/>
      <c r="K25" s="25" t="n"/>
      <c r="L25" s="25" t="n"/>
      <c r="M25" s="25" t="n"/>
    </row>
    <row r="26">
      <c r="A26" s="26" t="n"/>
      <c r="B26" s="25" t="n"/>
      <c r="C26" s="25" t="n"/>
      <c r="D26" s="25" t="n"/>
      <c r="E26" s="16" t="n"/>
      <c r="F26" s="25" t="n"/>
      <c r="G26" s="26" t="n"/>
      <c r="H26" s="26" t="n"/>
      <c r="I26" s="26" t="n"/>
      <c r="J26" s="25" t="n"/>
      <c r="K26" s="25" t="n"/>
      <c r="L26" s="25" t="n"/>
      <c r="M26" s="25" t="n"/>
    </row>
    <row r="27">
      <c r="A27" s="26" t="n"/>
      <c r="B27" s="25" t="n"/>
      <c r="C27" s="25" t="n"/>
      <c r="D27" s="25" t="n"/>
      <c r="E27" s="16" t="n"/>
      <c r="F27" s="25" t="n"/>
      <c r="G27" s="26" t="n"/>
      <c r="H27" s="26" t="n"/>
      <c r="I27" s="26" t="n"/>
      <c r="J27" s="25" t="n"/>
      <c r="K27" s="25" t="n"/>
      <c r="L27" s="25" t="n"/>
      <c r="M27" s="25" t="n"/>
    </row>
    <row r="28">
      <c r="A28" s="26" t="n"/>
      <c r="B28" s="25" t="n"/>
      <c r="C28" s="25" t="n"/>
      <c r="D28" s="25" t="n"/>
      <c r="E28" s="16" t="n"/>
      <c r="F28" s="25" t="n"/>
      <c r="G28" s="26" t="n"/>
      <c r="H28" s="26" t="n"/>
      <c r="I28" s="26" t="n"/>
      <c r="J28" s="25" t="n"/>
      <c r="K28" s="25" t="n"/>
      <c r="L28" s="25" t="n"/>
      <c r="M28" s="25" t="n"/>
    </row>
    <row r="29">
      <c r="A29" s="26" t="n"/>
      <c r="B29" s="25" t="n"/>
      <c r="C29" s="25" t="n"/>
      <c r="D29" s="25" t="n"/>
      <c r="E29" s="16" t="n"/>
      <c r="F29" s="25" t="n"/>
      <c r="G29" s="26" t="n"/>
      <c r="H29" s="26" t="n"/>
      <c r="I29" s="26" t="n"/>
      <c r="J29" s="25" t="n"/>
      <c r="K29" s="25" t="n"/>
      <c r="L29" s="25" t="n"/>
      <c r="M29" s="25" t="n"/>
    </row>
    <row r="30">
      <c r="A30" s="26" t="n"/>
      <c r="B30" s="25" t="n"/>
      <c r="C30" s="25" t="n"/>
      <c r="D30" s="25" t="n"/>
      <c r="E30" s="16" t="n"/>
      <c r="F30" s="25" t="n"/>
      <c r="G30" s="26" t="n"/>
      <c r="H30" s="26" t="n"/>
      <c r="I30" s="26" t="n"/>
      <c r="J30" s="25" t="n"/>
      <c r="K30" s="25" t="n"/>
      <c r="L30" s="25" t="n"/>
      <c r="M30" s="25" t="n"/>
    </row>
    <row r="31">
      <c r="A31" s="26" t="n"/>
      <c r="B31" s="25" t="n"/>
      <c r="C31" s="25" t="n"/>
      <c r="D31" s="25" t="n"/>
      <c r="E31" s="16" t="n"/>
      <c r="F31" s="25" t="n"/>
      <c r="G31" s="26" t="n"/>
      <c r="H31" s="26" t="n"/>
      <c r="I31" s="26" t="n"/>
      <c r="J31" s="25" t="n"/>
      <c r="K31" s="25" t="n"/>
      <c r="L31" s="25" t="n"/>
      <c r="M31" s="25" t="n"/>
    </row>
    <row r="32">
      <c r="A32" s="26" t="n"/>
      <c r="B32" s="25" t="n"/>
      <c r="C32" s="25" t="n"/>
      <c r="D32" s="25" t="n"/>
      <c r="E32" s="16" t="n"/>
      <c r="F32" s="25" t="n"/>
      <c r="G32" s="26" t="n"/>
      <c r="H32" s="26" t="n"/>
      <c r="I32" s="26" t="n"/>
      <c r="J32" s="25" t="n"/>
      <c r="K32" s="25" t="n"/>
      <c r="L32" s="25" t="n"/>
      <c r="M32" s="25" t="n"/>
    </row>
    <row r="33">
      <c r="A33" s="26" t="n"/>
      <c r="B33" s="25" t="n"/>
      <c r="C33" s="25" t="n"/>
      <c r="D33" s="25" t="n"/>
      <c r="E33" s="16" t="n"/>
      <c r="F33" s="25" t="n"/>
      <c r="G33" s="26" t="n"/>
      <c r="H33" s="26" t="n"/>
      <c r="I33" s="26" t="n"/>
      <c r="J33" s="25" t="n"/>
      <c r="K33" s="25" t="n"/>
      <c r="L33" s="25" t="n"/>
      <c r="M33" s="25" t="n"/>
    </row>
    <row r="34">
      <c r="A34" s="26" t="n"/>
      <c r="B34" s="25" t="n"/>
      <c r="C34" s="25" t="n"/>
      <c r="D34" s="25" t="n"/>
      <c r="E34" s="16" t="n"/>
      <c r="F34" s="25" t="n"/>
      <c r="G34" s="26" t="n"/>
      <c r="H34" s="26" t="n"/>
      <c r="I34" s="26" t="n"/>
      <c r="J34" s="25" t="n"/>
      <c r="K34" s="25" t="n"/>
      <c r="L34" s="25" t="n"/>
      <c r="M34" s="25" t="n"/>
    </row>
    <row r="35">
      <c r="A35" s="26" t="n"/>
      <c r="B35" s="25" t="n"/>
      <c r="C35" s="25" t="n"/>
      <c r="D35" s="25" t="n"/>
      <c r="E35" s="16" t="n"/>
      <c r="F35" s="25" t="n"/>
      <c r="G35" s="26" t="n"/>
      <c r="H35" s="26" t="n"/>
      <c r="I35" s="26" t="n"/>
      <c r="J35" s="25" t="n"/>
      <c r="K35" s="25" t="n"/>
      <c r="L35" s="25" t="n"/>
      <c r="M35" s="25" t="n"/>
    </row>
    <row r="36">
      <c r="A36" s="26" t="n"/>
      <c r="B36" s="25" t="n"/>
      <c r="C36" s="25" t="n"/>
      <c r="D36" s="25" t="n"/>
      <c r="E36" s="16" t="n"/>
      <c r="F36" s="25" t="n"/>
      <c r="G36" s="26" t="n"/>
      <c r="H36" s="26" t="n"/>
      <c r="I36" s="26" t="n"/>
      <c r="J36" s="25" t="n"/>
      <c r="K36" s="25" t="n"/>
      <c r="L36" s="25" t="n"/>
      <c r="M36" s="25" t="n"/>
    </row>
    <row r="37">
      <c r="A37" s="26" t="n"/>
      <c r="B37" s="25" t="n"/>
      <c r="C37" s="25" t="n"/>
      <c r="D37" s="25" t="n"/>
      <c r="E37" s="16" t="n"/>
      <c r="F37" s="25" t="n"/>
      <c r="G37" s="26" t="n"/>
      <c r="H37" s="26" t="n"/>
      <c r="I37" s="26" t="n"/>
      <c r="J37" s="25" t="n"/>
      <c r="K37" s="25" t="n"/>
      <c r="L37" s="25" t="n"/>
      <c r="M37" s="25" t="n"/>
    </row>
    <row r="38">
      <c r="A38" s="26" t="n"/>
      <c r="B38" s="25" t="n"/>
      <c r="C38" s="25" t="n"/>
      <c r="D38" s="25" t="n"/>
      <c r="E38" s="16" t="n"/>
      <c r="F38" s="25" t="n"/>
      <c r="G38" s="26" t="n"/>
      <c r="H38" s="26" t="n"/>
      <c r="I38" s="26" t="n"/>
      <c r="J38" s="25" t="n"/>
      <c r="K38" s="25" t="n"/>
      <c r="L38" s="25" t="n"/>
      <c r="M38" s="25" t="n"/>
    </row>
    <row r="39">
      <c r="A39" s="26" t="n"/>
      <c r="B39" s="25" t="n"/>
      <c r="C39" s="25" t="n"/>
      <c r="D39" s="25" t="n"/>
      <c r="E39" s="16" t="n"/>
      <c r="F39" s="25" t="n"/>
      <c r="G39" s="26" t="n"/>
      <c r="H39" s="26" t="n"/>
      <c r="I39" s="26" t="n"/>
      <c r="J39" s="25" t="n"/>
      <c r="K39" s="25" t="n"/>
      <c r="L39" s="25" t="n"/>
      <c r="M39" s="25" t="n"/>
    </row>
    <row r="40">
      <c r="A40" s="26" t="n"/>
      <c r="B40" s="25" t="n"/>
      <c r="C40" s="25" t="n"/>
      <c r="D40" s="25" t="n"/>
      <c r="E40" s="16" t="n"/>
      <c r="F40" s="25" t="n"/>
      <c r="G40" s="26" t="n"/>
      <c r="H40" s="26" t="n"/>
      <c r="I40" s="26" t="n"/>
      <c r="J40" s="25" t="n"/>
      <c r="K40" s="25" t="n"/>
      <c r="L40" s="25" t="n"/>
      <c r="M40" s="25" t="n"/>
    </row>
    <row r="41">
      <c r="A41" s="26" t="n"/>
      <c r="B41" s="25" t="n"/>
      <c r="C41" s="25" t="n"/>
      <c r="D41" s="25" t="n"/>
      <c r="E41" s="16" t="n"/>
      <c r="F41" s="25" t="n"/>
      <c r="G41" s="26" t="n"/>
      <c r="H41" s="26" t="n"/>
      <c r="I41" s="26" t="n"/>
      <c r="J41" s="25" t="n"/>
      <c r="K41" s="25" t="n"/>
      <c r="L41" s="25" t="n"/>
      <c r="M41" s="25" t="n"/>
    </row>
    <row r="42">
      <c r="A42" s="26" t="n"/>
      <c r="B42" s="25" t="n"/>
      <c r="C42" s="25" t="n"/>
      <c r="D42" s="25" t="n"/>
      <c r="E42" s="16" t="n"/>
      <c r="F42" s="25" t="n"/>
      <c r="G42" s="26" t="n"/>
      <c r="H42" s="26" t="n"/>
      <c r="I42" s="26" t="n"/>
      <c r="J42" s="25" t="n"/>
      <c r="K42" s="25" t="n"/>
      <c r="L42" s="25" t="n"/>
      <c r="M42" s="25" t="n"/>
    </row>
    <row r="43">
      <c r="A43" s="26" t="n"/>
      <c r="B43" s="25" t="n"/>
      <c r="C43" s="25" t="n"/>
      <c r="D43" s="25" t="n"/>
      <c r="E43" s="16" t="n"/>
      <c r="F43" s="25" t="n"/>
      <c r="G43" s="26" t="n"/>
      <c r="H43" s="26" t="n"/>
      <c r="I43" s="26" t="n"/>
      <c r="J43" s="25" t="n"/>
      <c r="K43" s="25" t="n"/>
      <c r="L43" s="25" t="n"/>
      <c r="M43" s="25" t="n"/>
    </row>
    <row r="44">
      <c r="A44" s="26" t="n"/>
      <c r="B44" s="25" t="n"/>
      <c r="C44" s="25" t="n"/>
      <c r="D44" s="25" t="n"/>
      <c r="E44" s="16" t="n"/>
      <c r="F44" s="25" t="n"/>
      <c r="G44" s="26" t="n"/>
      <c r="H44" s="26" t="n"/>
      <c r="I44" s="26" t="n"/>
      <c r="J44" s="25" t="n"/>
      <c r="K44" s="25" t="n"/>
      <c r="L44" s="25" t="n"/>
      <c r="M44" s="25" t="n"/>
    </row>
    <row r="45">
      <c r="A45" s="26" t="n"/>
      <c r="B45" s="25" t="n"/>
      <c r="C45" s="25" t="n"/>
      <c r="D45" s="25" t="n"/>
      <c r="E45" s="16" t="n"/>
      <c r="F45" s="25" t="n"/>
      <c r="G45" s="26" t="n"/>
      <c r="H45" s="26" t="n"/>
      <c r="I45" s="26" t="n"/>
      <c r="J45" s="25" t="n"/>
      <c r="K45" s="25" t="n"/>
      <c r="L45" s="25" t="n"/>
      <c r="M45" s="25" t="n"/>
    </row>
    <row r="46">
      <c r="A46" s="26" t="n"/>
      <c r="B46" s="25" t="n"/>
      <c r="C46" s="25" t="n"/>
      <c r="D46" s="25" t="n"/>
      <c r="E46" s="16" t="n"/>
      <c r="F46" s="25" t="n"/>
      <c r="G46" s="26" t="n"/>
      <c r="H46" s="26" t="n"/>
      <c r="I46" s="26" t="n"/>
      <c r="J46" s="25" t="n"/>
      <c r="K46" s="25" t="n"/>
      <c r="L46" s="25" t="n"/>
      <c r="M46" s="25" t="n"/>
    </row>
    <row r="47">
      <c r="A47" s="26" t="n"/>
      <c r="B47" s="25" t="n"/>
      <c r="C47" s="25" t="n"/>
      <c r="D47" s="25" t="n"/>
      <c r="E47" s="16" t="n"/>
      <c r="F47" s="25" t="n"/>
      <c r="G47" s="26" t="n"/>
      <c r="H47" s="26" t="n"/>
      <c r="I47" s="26" t="n"/>
      <c r="J47" s="25" t="n"/>
      <c r="K47" s="25" t="n"/>
      <c r="L47" s="25" t="n"/>
      <c r="M47" s="25" t="n"/>
    </row>
    <row r="48">
      <c r="A48" s="26" t="n"/>
      <c r="B48" s="25" t="n"/>
      <c r="C48" s="25" t="n"/>
      <c r="D48" s="25" t="n"/>
      <c r="E48" s="16" t="n"/>
      <c r="F48" s="25" t="n"/>
      <c r="G48" s="26" t="n"/>
      <c r="H48" s="26" t="n"/>
      <c r="I48" s="26" t="n"/>
      <c r="J48" s="25" t="n"/>
      <c r="K48" s="25" t="n"/>
      <c r="L48" s="25" t="n"/>
      <c r="M48" s="25" t="n"/>
    </row>
    <row r="49">
      <c r="A49" s="26" t="n"/>
      <c r="B49" s="25" t="n"/>
      <c r="C49" s="25" t="n"/>
      <c r="D49" s="25" t="n"/>
      <c r="E49" s="16" t="n"/>
      <c r="F49" s="25" t="n"/>
      <c r="G49" s="26" t="n"/>
      <c r="H49" s="26" t="n"/>
      <c r="I49" s="26" t="n"/>
      <c r="J49" s="25" t="n"/>
      <c r="K49" s="25" t="n"/>
      <c r="L49" s="25" t="n"/>
      <c r="M49" s="25" t="n"/>
    </row>
    <row r="50">
      <c r="A50" s="26" t="n"/>
      <c r="B50" s="25" t="n"/>
      <c r="C50" s="25" t="n"/>
      <c r="D50" s="25" t="n"/>
      <c r="E50" s="16" t="n"/>
      <c r="F50" s="25" t="n"/>
      <c r="G50" s="26" t="n"/>
      <c r="H50" s="26" t="n"/>
      <c r="I50" s="26" t="n"/>
      <c r="J50" s="25" t="n"/>
      <c r="K50" s="25" t="n"/>
      <c r="L50" s="25" t="n"/>
      <c r="M50" s="25" t="n"/>
    </row>
    <row r="51">
      <c r="A51" s="26" t="n"/>
      <c r="B51" s="25" t="n"/>
      <c r="C51" s="25" t="n"/>
      <c r="D51" s="25" t="n"/>
      <c r="E51" s="16" t="n"/>
      <c r="F51" s="25" t="n"/>
      <c r="G51" s="26" t="n"/>
      <c r="H51" s="26" t="n"/>
      <c r="I51" s="26" t="n"/>
      <c r="J51" s="25" t="n"/>
      <c r="K51" s="25" t="n"/>
      <c r="L51" s="25" t="n"/>
      <c r="M51" s="25" t="n"/>
    </row>
    <row r="52">
      <c r="A52" s="26" t="n"/>
      <c r="B52" s="25" t="n"/>
      <c r="C52" s="25" t="n"/>
      <c r="D52" s="25" t="n"/>
      <c r="E52" s="16" t="n"/>
      <c r="F52" s="25" t="n"/>
      <c r="G52" s="26" t="n"/>
      <c r="H52" s="26" t="n"/>
      <c r="I52" s="26" t="n"/>
      <c r="J52" s="25" t="n"/>
      <c r="K52" s="25" t="n"/>
      <c r="L52" s="25" t="n"/>
      <c r="M52" s="25" t="n"/>
    </row>
    <row r="53">
      <c r="A53" s="26" t="n"/>
      <c r="B53" s="25" t="n"/>
      <c r="C53" s="25" t="n"/>
      <c r="D53" s="25" t="n"/>
      <c r="E53" s="16" t="n"/>
      <c r="F53" s="25" t="n"/>
      <c r="G53" s="26" t="n"/>
      <c r="H53" s="26" t="n"/>
      <c r="I53" s="26" t="n"/>
      <c r="J53" s="25" t="n"/>
      <c r="K53" s="25" t="n"/>
      <c r="L53" s="25" t="n"/>
      <c r="M53" s="25" t="n"/>
    </row>
    <row r="54">
      <c r="A54" s="26" t="n"/>
      <c r="B54" s="25" t="n"/>
      <c r="C54" s="25" t="n"/>
      <c r="D54" s="25" t="n"/>
      <c r="E54" s="16" t="n"/>
      <c r="F54" s="25" t="n"/>
      <c r="G54" s="26" t="n"/>
      <c r="H54" s="26" t="n"/>
      <c r="I54" s="26" t="n"/>
      <c r="J54" s="25" t="n"/>
      <c r="K54" s="25" t="n"/>
      <c r="L54" s="25" t="n"/>
      <c r="M54" s="25" t="n"/>
    </row>
    <row r="55">
      <c r="A55" s="26" t="n"/>
      <c r="B55" s="25" t="n"/>
      <c r="C55" s="25" t="n"/>
      <c r="D55" s="25" t="n"/>
      <c r="E55" s="16" t="n"/>
      <c r="F55" s="25" t="n"/>
      <c r="G55" s="26" t="n"/>
      <c r="H55" s="26" t="n"/>
      <c r="I55" s="26" t="n"/>
      <c r="J55" s="25" t="n"/>
      <c r="K55" s="25" t="n"/>
      <c r="L55" s="25" t="n"/>
      <c r="M55" s="25" t="n"/>
    </row>
    <row r="56">
      <c r="A56" s="26" t="n"/>
      <c r="B56" s="25" t="n"/>
      <c r="C56" s="25" t="n"/>
      <c r="D56" s="25" t="n"/>
      <c r="E56" s="16" t="n"/>
      <c r="F56" s="25" t="n"/>
      <c r="G56" s="26" t="n"/>
      <c r="H56" s="26" t="n"/>
      <c r="I56" s="26" t="n"/>
      <c r="J56" s="25" t="n"/>
      <c r="K56" s="25" t="n"/>
      <c r="L56" s="25" t="n"/>
      <c r="M56" s="25" t="n"/>
    </row>
    <row r="57">
      <c r="A57" s="26" t="n"/>
      <c r="B57" s="25" t="n"/>
      <c r="C57" s="25" t="n"/>
      <c r="D57" s="25" t="n"/>
      <c r="E57" s="16" t="n"/>
      <c r="F57" s="25" t="n"/>
      <c r="G57" s="26" t="n"/>
      <c r="H57" s="26" t="n"/>
      <c r="I57" s="26" t="n"/>
      <c r="J57" s="25" t="n"/>
      <c r="K57" s="25" t="n"/>
      <c r="L57" s="25" t="n"/>
      <c r="M57" s="25" t="n"/>
    </row>
    <row r="58">
      <c r="A58" s="26" t="n"/>
      <c r="B58" s="25" t="n"/>
      <c r="C58" s="25" t="n"/>
      <c r="D58" s="25" t="n"/>
      <c r="E58" s="16" t="n"/>
      <c r="F58" s="25" t="n"/>
      <c r="G58" s="26" t="n"/>
      <c r="H58" s="26" t="n"/>
      <c r="I58" s="26" t="n"/>
      <c r="J58" s="25" t="n"/>
      <c r="K58" s="25" t="n"/>
      <c r="L58" s="25" t="n"/>
      <c r="M58" s="25" t="n"/>
    </row>
    <row r="59">
      <c r="A59" s="26" t="n"/>
      <c r="B59" s="25" t="n"/>
      <c r="C59" s="25" t="n"/>
      <c r="D59" s="25" t="n"/>
      <c r="E59" s="16" t="n"/>
      <c r="F59" s="25" t="n"/>
      <c r="G59" s="26" t="n"/>
      <c r="H59" s="26" t="n"/>
      <c r="I59" s="26" t="n"/>
      <c r="J59" s="25" t="n"/>
      <c r="K59" s="25" t="n"/>
      <c r="L59" s="25" t="n"/>
      <c r="M59" s="25" t="n"/>
    </row>
    <row r="60">
      <c r="A60" s="26" t="n"/>
      <c r="B60" s="25" t="n"/>
      <c r="C60" s="25" t="n"/>
      <c r="D60" s="25" t="n"/>
      <c r="E60" s="16" t="n"/>
      <c r="F60" s="25" t="n"/>
      <c r="G60" s="26" t="n"/>
      <c r="H60" s="26" t="n"/>
      <c r="I60" s="26" t="n"/>
      <c r="J60" s="25" t="n"/>
      <c r="K60" s="25" t="n"/>
      <c r="L60" s="25" t="n"/>
      <c r="M60" s="25" t="n"/>
    </row>
    <row r="61">
      <c r="A61" s="26" t="n"/>
      <c r="B61" s="25" t="n"/>
      <c r="C61" s="25" t="n"/>
      <c r="D61" s="25" t="n"/>
      <c r="E61" s="16" t="n"/>
      <c r="F61" s="25" t="n"/>
      <c r="G61" s="26" t="n"/>
      <c r="H61" s="26" t="n"/>
      <c r="I61" s="26" t="n"/>
      <c r="J61" s="25" t="n"/>
      <c r="K61" s="25" t="n"/>
      <c r="L61" s="25" t="n"/>
      <c r="M61" s="25" t="n"/>
    </row>
    <row r="62">
      <c r="A62" s="26" t="n"/>
      <c r="B62" s="25" t="n"/>
      <c r="C62" s="25" t="n"/>
      <c r="D62" s="25" t="n"/>
      <c r="E62" s="16" t="n"/>
      <c r="F62" s="25" t="n"/>
      <c r="G62" s="26" t="n"/>
      <c r="H62" s="26" t="n"/>
      <c r="I62" s="26" t="n"/>
      <c r="J62" s="25" t="n"/>
      <c r="K62" s="25" t="n"/>
      <c r="L62" s="25" t="n"/>
      <c r="M62" s="25" t="n"/>
    </row>
    <row r="63">
      <c r="A63" s="26" t="n"/>
      <c r="B63" s="25" t="n"/>
      <c r="C63" s="25" t="n"/>
      <c r="D63" s="25" t="n"/>
      <c r="E63" s="16" t="n"/>
      <c r="F63" s="25" t="n"/>
      <c r="G63" s="26" t="n"/>
      <c r="H63" s="26" t="n"/>
      <c r="I63" s="26" t="n"/>
      <c r="J63" s="25" t="n"/>
      <c r="K63" s="25" t="n"/>
      <c r="L63" s="25" t="n"/>
      <c r="M63" s="25" t="n"/>
    </row>
    <row r="64">
      <c r="A64" s="26" t="n"/>
      <c r="B64" s="25" t="n"/>
      <c r="C64" s="25" t="n"/>
      <c r="D64" s="25" t="n"/>
      <c r="E64" s="16" t="n"/>
      <c r="F64" s="25" t="n"/>
      <c r="G64" s="26" t="n"/>
      <c r="H64" s="26" t="n"/>
      <c r="I64" s="26" t="n"/>
      <c r="J64" s="25" t="n"/>
      <c r="K64" s="25" t="n"/>
      <c r="L64" s="25" t="n"/>
      <c r="M64" s="25" t="n"/>
    </row>
    <row r="65">
      <c r="A65" s="26" t="n"/>
      <c r="B65" s="25" t="n"/>
      <c r="C65" s="25" t="n"/>
      <c r="D65" s="25" t="n"/>
      <c r="E65" s="16" t="n"/>
      <c r="F65" s="25" t="n"/>
      <c r="G65" s="26" t="n"/>
      <c r="H65" s="26" t="n"/>
      <c r="I65" s="26" t="n"/>
      <c r="J65" s="25" t="n"/>
      <c r="K65" s="25" t="n"/>
      <c r="L65" s="25" t="n"/>
      <c r="M65" s="25" t="n"/>
    </row>
    <row r="66">
      <c r="A66" s="26" t="n"/>
      <c r="B66" s="25" t="n"/>
      <c r="C66" s="25" t="n"/>
      <c r="D66" s="25" t="n"/>
      <c r="E66" s="16" t="n"/>
      <c r="F66" s="25" t="n"/>
      <c r="G66" s="26" t="n"/>
      <c r="H66" s="26" t="n"/>
      <c r="I66" s="26" t="n"/>
      <c r="J66" s="25" t="n"/>
      <c r="K66" s="25" t="n"/>
      <c r="L66" s="25" t="n"/>
      <c r="M66" s="25" t="n"/>
    </row>
    <row r="67">
      <c r="A67" s="26" t="n"/>
      <c r="B67" s="25" t="n"/>
      <c r="C67" s="25" t="n"/>
      <c r="D67" s="25" t="n"/>
      <c r="E67" s="16" t="n"/>
      <c r="F67" s="25" t="n"/>
      <c r="G67" s="26" t="n"/>
      <c r="H67" s="26" t="n"/>
      <c r="I67" s="26" t="n"/>
      <c r="J67" s="25" t="n"/>
      <c r="K67" s="25" t="n"/>
      <c r="L67" s="25" t="n"/>
      <c r="M67" s="25" t="n"/>
    </row>
    <row r="68">
      <c r="A68" s="26" t="n"/>
      <c r="B68" s="25" t="n"/>
      <c r="C68" s="25" t="n"/>
      <c r="D68" s="25" t="n"/>
      <c r="E68" s="16" t="n"/>
      <c r="F68" s="25" t="n"/>
      <c r="G68" s="26" t="n"/>
      <c r="H68" s="26" t="n"/>
      <c r="I68" s="26" t="n"/>
      <c r="J68" s="25" t="n"/>
      <c r="K68" s="25" t="n"/>
      <c r="L68" s="25" t="n"/>
      <c r="M68" s="25" t="n"/>
    </row>
    <row r="69">
      <c r="A69" s="26" t="n"/>
      <c r="B69" s="25" t="n"/>
      <c r="C69" s="25" t="n"/>
      <c r="D69" s="25" t="n"/>
      <c r="E69" s="16" t="n"/>
      <c r="F69" s="25" t="n"/>
      <c r="G69" s="26" t="n"/>
      <c r="H69" s="26" t="n"/>
      <c r="I69" s="26" t="n"/>
      <c r="J69" s="25" t="n"/>
      <c r="K69" s="25" t="n"/>
      <c r="L69" s="25" t="n"/>
      <c r="M69" s="25" t="n"/>
    </row>
    <row r="70">
      <c r="A70" s="26" t="n"/>
      <c r="B70" s="25" t="n"/>
      <c r="C70" s="25" t="n"/>
      <c r="D70" s="25" t="n"/>
      <c r="E70" s="16" t="n"/>
      <c r="F70" s="25" t="n"/>
      <c r="G70" s="26" t="n"/>
      <c r="H70" s="26" t="n"/>
      <c r="I70" s="26" t="n"/>
      <c r="J70" s="25" t="n"/>
      <c r="K70" s="25" t="n"/>
      <c r="L70" s="25" t="n"/>
      <c r="M70" s="25" t="n"/>
    </row>
    <row r="71">
      <c r="A71" s="26" t="n"/>
      <c r="B71" s="25" t="n"/>
      <c r="C71" s="25" t="n"/>
      <c r="D71" s="25" t="n"/>
      <c r="E71" s="16" t="n"/>
      <c r="F71" s="25" t="n"/>
      <c r="G71" s="26" t="n"/>
      <c r="H71" s="26" t="n"/>
      <c r="I71" s="26" t="n"/>
      <c r="J71" s="25" t="n"/>
      <c r="K71" s="25" t="n"/>
      <c r="L71" s="25" t="n"/>
      <c r="M71" s="25" t="n"/>
    </row>
    <row r="72">
      <c r="A72" s="26" t="n"/>
      <c r="B72" s="25" t="n"/>
      <c r="C72" s="25" t="n"/>
      <c r="D72" s="25" t="n"/>
      <c r="E72" s="16" t="n"/>
      <c r="F72" s="25" t="n"/>
      <c r="G72" s="26" t="n"/>
      <c r="H72" s="26" t="n"/>
      <c r="I72" s="26" t="n"/>
      <c r="J72" s="25" t="n"/>
      <c r="K72" s="25" t="n"/>
      <c r="L72" s="25" t="n"/>
      <c r="M72" s="25" t="n"/>
    </row>
    <row r="73">
      <c r="A73" s="26" t="n"/>
      <c r="B73" s="25" t="n"/>
      <c r="C73" s="25" t="n"/>
      <c r="D73" s="25" t="n"/>
      <c r="E73" s="16" t="n"/>
      <c r="F73" s="25" t="n"/>
      <c r="G73" s="26" t="n"/>
      <c r="H73" s="26" t="n"/>
      <c r="I73" s="26" t="n"/>
      <c r="J73" s="25" t="n"/>
      <c r="K73" s="25" t="n"/>
      <c r="L73" s="25" t="n"/>
      <c r="M73" s="25" t="n"/>
    </row>
    <row r="74">
      <c r="A74" s="26" t="n"/>
      <c r="B74" s="25" t="n"/>
      <c r="C74" s="25" t="n"/>
      <c r="D74" s="25" t="n"/>
      <c r="E74" s="16" t="n"/>
      <c r="F74" s="25" t="n"/>
      <c r="G74" s="26" t="n"/>
      <c r="H74" s="26" t="n"/>
      <c r="I74" s="26" t="n"/>
      <c r="J74" s="25" t="n"/>
      <c r="K74" s="25" t="n"/>
      <c r="L74" s="25" t="n"/>
      <c r="M74" s="25" t="n"/>
    </row>
    <row r="75">
      <c r="A75" s="26" t="n"/>
      <c r="B75" s="25" t="n"/>
      <c r="C75" s="25" t="n"/>
      <c r="D75" s="25" t="n"/>
      <c r="E75" s="16" t="n"/>
      <c r="F75" s="25" t="n"/>
      <c r="G75" s="26" t="n"/>
      <c r="H75" s="26" t="n"/>
      <c r="I75" s="26" t="n"/>
      <c r="J75" s="25" t="n"/>
      <c r="K75" s="25" t="n"/>
      <c r="L75" s="25" t="n"/>
      <c r="M75" s="25" t="n"/>
    </row>
    <row r="76">
      <c r="A76" s="26" t="n"/>
      <c r="B76" s="25" t="n"/>
      <c r="C76" s="25" t="n"/>
      <c r="D76" s="25" t="n"/>
      <c r="E76" s="16" t="n"/>
      <c r="F76" s="25" t="n"/>
      <c r="G76" s="26" t="n"/>
      <c r="H76" s="26" t="n"/>
      <c r="I76" s="26" t="n"/>
      <c r="J76" s="25" t="n"/>
      <c r="K76" s="25" t="n"/>
      <c r="L76" s="25" t="n"/>
      <c r="M76" s="25" t="n"/>
    </row>
    <row r="77">
      <c r="A77" s="26" t="n"/>
      <c r="B77" s="25" t="n"/>
      <c r="C77" s="25" t="n"/>
      <c r="D77" s="25" t="n"/>
      <c r="E77" s="16" t="n"/>
      <c r="F77" s="25" t="n"/>
      <c r="G77" s="26" t="n"/>
      <c r="H77" s="26" t="n"/>
      <c r="I77" s="26" t="n"/>
      <c r="J77" s="25" t="n"/>
      <c r="K77" s="25" t="n"/>
      <c r="L77" s="25" t="n"/>
      <c r="M77" s="25" t="n"/>
    </row>
    <row r="78">
      <c r="A78" s="26" t="n"/>
      <c r="B78" s="25" t="n"/>
      <c r="C78" s="25" t="n"/>
      <c r="D78" s="25" t="n"/>
      <c r="E78" s="16" t="n"/>
      <c r="F78" s="25" t="n"/>
      <c r="G78" s="26" t="n"/>
      <c r="H78" s="26" t="n"/>
      <c r="I78" s="26" t="n"/>
      <c r="J78" s="25" t="n"/>
      <c r="K78" s="25" t="n"/>
      <c r="L78" s="25" t="n"/>
      <c r="M78" s="25" t="n"/>
    </row>
    <row r="79">
      <c r="A79" s="26" t="n"/>
      <c r="B79" s="25" t="n"/>
      <c r="C79" s="25" t="n"/>
      <c r="D79" s="25" t="n"/>
      <c r="E79" s="16" t="n"/>
      <c r="F79" s="25" t="n"/>
      <c r="G79" s="26" t="n"/>
      <c r="H79" s="26" t="n"/>
      <c r="I79" s="26" t="n"/>
      <c r="J79" s="25" t="n"/>
      <c r="K79" s="25" t="n"/>
      <c r="L79" s="25" t="n"/>
      <c r="M79" s="25" t="n"/>
    </row>
    <row r="80">
      <c r="A80" s="26" t="n"/>
      <c r="B80" s="25" t="n"/>
      <c r="C80" s="25" t="n"/>
      <c r="D80" s="25" t="n"/>
      <c r="E80" s="16" t="n"/>
      <c r="F80" s="25" t="n"/>
      <c r="G80" s="26" t="n"/>
      <c r="H80" s="26" t="n"/>
      <c r="I80" s="26" t="n"/>
      <c r="J80" s="25" t="n"/>
      <c r="K80" s="25" t="n"/>
      <c r="L80" s="25" t="n"/>
      <c r="M80" s="25" t="n"/>
    </row>
    <row r="81">
      <c r="A81" s="26" t="n"/>
      <c r="B81" s="25" t="n"/>
      <c r="C81" s="25" t="n"/>
      <c r="D81" s="25" t="n"/>
      <c r="E81" s="16" t="n"/>
      <c r="F81" s="25" t="n"/>
      <c r="G81" s="26" t="n"/>
      <c r="H81" s="26" t="n"/>
      <c r="I81" s="26" t="n"/>
      <c r="J81" s="25" t="n"/>
      <c r="K81" s="25" t="n"/>
      <c r="L81" s="25" t="n"/>
      <c r="M81" s="25" t="n"/>
    </row>
    <row r="82">
      <c r="A82" s="26" t="n"/>
      <c r="B82" s="25" t="n"/>
      <c r="C82" s="25" t="n"/>
      <c r="D82" s="25" t="n"/>
      <c r="E82" s="16" t="n"/>
      <c r="F82" s="25" t="n"/>
      <c r="G82" s="26" t="n"/>
      <c r="H82" s="26" t="n"/>
      <c r="I82" s="26" t="n"/>
      <c r="J82" s="25" t="n"/>
      <c r="K82" s="25" t="n"/>
      <c r="L82" s="25" t="n"/>
      <c r="M82" s="25" t="n"/>
    </row>
    <row r="83">
      <c r="A83" s="26" t="n"/>
      <c r="B83" s="25" t="n"/>
      <c r="C83" s="25" t="n"/>
      <c r="D83" s="25" t="n"/>
      <c r="E83" s="16" t="n"/>
      <c r="F83" s="25" t="n"/>
      <c r="G83" s="26" t="n"/>
      <c r="H83" s="26" t="n"/>
      <c r="I83" s="26" t="n"/>
      <c r="J83" s="25" t="n"/>
      <c r="K83" s="25" t="n"/>
      <c r="L83" s="25" t="n"/>
      <c r="M83" s="25" t="n"/>
    </row>
    <row r="84">
      <c r="A84" s="26" t="n"/>
      <c r="B84" s="25" t="n"/>
      <c r="C84" s="25" t="n"/>
      <c r="D84" s="25" t="n"/>
      <c r="E84" s="16" t="n"/>
      <c r="F84" s="25" t="n"/>
      <c r="G84" s="26" t="n"/>
      <c r="H84" s="26" t="n"/>
      <c r="I84" s="26" t="n"/>
      <c r="J84" s="25" t="n"/>
      <c r="K84" s="25" t="n"/>
      <c r="L84" s="25" t="n"/>
      <c r="M84" s="25" t="n"/>
    </row>
    <row r="85">
      <c r="A85" s="26" t="n"/>
      <c r="B85" s="25" t="n"/>
      <c r="C85" s="25" t="n"/>
      <c r="D85" s="25" t="n"/>
      <c r="E85" s="16" t="n"/>
      <c r="F85" s="25" t="n"/>
      <c r="G85" s="26" t="n"/>
      <c r="H85" s="26" t="n"/>
      <c r="I85" s="26" t="n"/>
      <c r="J85" s="25" t="n"/>
      <c r="K85" s="25" t="n"/>
      <c r="L85" s="25" t="n"/>
      <c r="M85" s="25" t="n"/>
    </row>
    <row r="86">
      <c r="A86" s="26" t="n"/>
      <c r="B86" s="25" t="n"/>
      <c r="C86" s="25" t="n"/>
      <c r="D86" s="25" t="n"/>
      <c r="E86" s="16" t="n"/>
      <c r="F86" s="25" t="n"/>
      <c r="G86" s="26" t="n"/>
      <c r="H86" s="26" t="n"/>
      <c r="I86" s="26" t="n"/>
      <c r="J86" s="25" t="n"/>
      <c r="K86" s="25" t="n"/>
      <c r="L86" s="25" t="n"/>
      <c r="M86" s="25" t="n"/>
    </row>
    <row r="87">
      <c r="A87" s="26" t="n"/>
      <c r="B87" s="25" t="n"/>
      <c r="C87" s="25" t="n"/>
      <c r="D87" s="25" t="n"/>
      <c r="E87" s="16" t="n"/>
      <c r="F87" s="25" t="n"/>
      <c r="G87" s="26" t="n"/>
      <c r="H87" s="26" t="n"/>
      <c r="I87" s="26" t="n"/>
      <c r="J87" s="25" t="n"/>
      <c r="K87" s="25" t="n"/>
      <c r="L87" s="25" t="n"/>
      <c r="M87" s="25" t="n"/>
    </row>
    <row r="88">
      <c r="A88" s="26" t="n"/>
      <c r="B88" s="25" t="n"/>
      <c r="C88" s="25" t="n"/>
      <c r="D88" s="25" t="n"/>
      <c r="E88" s="16" t="n"/>
      <c r="F88" s="25" t="n"/>
      <c r="G88" s="26" t="n"/>
      <c r="H88" s="26" t="n"/>
      <c r="I88" s="26" t="n"/>
      <c r="J88" s="25" t="n"/>
      <c r="K88" s="25" t="n"/>
      <c r="L88" s="25" t="n"/>
      <c r="M88" s="25" t="n"/>
    </row>
    <row r="89">
      <c r="A89" s="26" t="n"/>
      <c r="B89" s="25" t="n"/>
      <c r="C89" s="25" t="n"/>
      <c r="D89" s="25" t="n"/>
      <c r="E89" s="16" t="n"/>
      <c r="F89" s="25" t="n"/>
      <c r="G89" s="26" t="n"/>
      <c r="H89" s="26" t="n"/>
      <c r="I89" s="26" t="n"/>
      <c r="J89" s="25" t="n"/>
      <c r="K89" s="25" t="n"/>
      <c r="L89" s="25" t="n"/>
      <c r="M89" s="25" t="n"/>
    </row>
    <row r="90">
      <c r="A90" s="26" t="n"/>
      <c r="B90" s="25" t="n"/>
      <c r="C90" s="25" t="n"/>
      <c r="D90" s="25" t="n"/>
      <c r="E90" s="16" t="n"/>
      <c r="F90" s="25" t="n"/>
      <c r="G90" s="26" t="n"/>
      <c r="H90" s="26" t="n"/>
      <c r="I90" s="26" t="n"/>
      <c r="J90" s="25" t="n"/>
      <c r="K90" s="25" t="n"/>
      <c r="L90" s="25" t="n"/>
      <c r="M90" s="25" t="n"/>
    </row>
    <row r="91">
      <c r="A91" s="26" t="n"/>
      <c r="B91" s="25" t="n"/>
      <c r="C91" s="25" t="n"/>
      <c r="D91" s="25" t="n"/>
      <c r="E91" s="16" t="n"/>
      <c r="F91" s="25" t="n"/>
      <c r="G91" s="26" t="n"/>
      <c r="H91" s="26" t="n"/>
      <c r="I91" s="26" t="n"/>
      <c r="J91" s="25" t="n"/>
      <c r="K91" s="25" t="n"/>
      <c r="L91" s="25" t="n"/>
      <c r="M91" s="25" t="n"/>
    </row>
    <row r="92">
      <c r="A92" s="26" t="n"/>
      <c r="B92" s="25" t="n"/>
      <c r="C92" s="25" t="n"/>
      <c r="D92" s="25" t="n"/>
      <c r="E92" s="16" t="n"/>
      <c r="F92" s="25" t="n"/>
      <c r="G92" s="26" t="n"/>
      <c r="H92" s="26" t="n"/>
      <c r="I92" s="26" t="n"/>
      <c r="J92" s="25" t="n"/>
      <c r="K92" s="25" t="n"/>
      <c r="L92" s="25" t="n"/>
      <c r="M92" s="25" t="n"/>
    </row>
    <row r="93">
      <c r="A93" s="26" t="n"/>
      <c r="B93" s="25" t="n"/>
      <c r="C93" s="25" t="n"/>
      <c r="D93" s="25" t="n"/>
      <c r="E93" s="16" t="n"/>
      <c r="F93" s="25" t="n"/>
      <c r="G93" s="26" t="n"/>
      <c r="H93" s="26" t="n"/>
      <c r="I93" s="26" t="n"/>
      <c r="J93" s="25" t="n"/>
      <c r="K93" s="25" t="n"/>
      <c r="L93" s="25" t="n"/>
      <c r="M93" s="25" t="n"/>
    </row>
    <row r="94">
      <c r="A94" s="26" t="n"/>
      <c r="B94" s="25" t="n"/>
      <c r="C94" s="25" t="n"/>
      <c r="D94" s="25" t="n"/>
      <c r="E94" s="16" t="n"/>
      <c r="F94" s="25" t="n"/>
      <c r="G94" s="26" t="n"/>
      <c r="H94" s="26" t="n"/>
      <c r="I94" s="26" t="n"/>
      <c r="J94" s="25" t="n"/>
      <c r="K94" s="25" t="n"/>
      <c r="L94" s="25" t="n"/>
      <c r="M94" s="25" t="n"/>
    </row>
    <row r="95">
      <c r="A95" s="26" t="n"/>
      <c r="B95" s="25" t="n"/>
      <c r="C95" s="25" t="n"/>
      <c r="D95" s="25" t="n"/>
      <c r="E95" s="16" t="n"/>
      <c r="F95" s="25" t="n"/>
      <c r="G95" s="26" t="n"/>
      <c r="H95" s="26" t="n"/>
      <c r="I95" s="26" t="n"/>
      <c r="J95" s="25" t="n"/>
      <c r="K95" s="25" t="n"/>
      <c r="L95" s="25" t="n"/>
      <c r="M95" s="25" t="n"/>
    </row>
    <row r="96">
      <c r="A96" s="26" t="n"/>
      <c r="B96" s="25" t="n"/>
      <c r="C96" s="25" t="n"/>
      <c r="D96" s="25" t="n"/>
      <c r="E96" s="16" t="n"/>
      <c r="F96" s="25" t="n"/>
      <c r="G96" s="26" t="n"/>
      <c r="H96" s="26" t="n"/>
      <c r="I96" s="26" t="n"/>
      <c r="J96" s="25" t="n"/>
      <c r="K96" s="25" t="n"/>
      <c r="L96" s="25" t="n"/>
      <c r="M96" s="25" t="n"/>
    </row>
    <row r="97">
      <c r="A97" s="26" t="n"/>
      <c r="B97" s="25" t="n"/>
      <c r="C97" s="25" t="n"/>
      <c r="D97" s="25" t="n"/>
      <c r="E97" s="16" t="n"/>
      <c r="F97" s="25" t="n"/>
      <c r="G97" s="26" t="n"/>
      <c r="H97" s="26" t="n"/>
      <c r="I97" s="26" t="n"/>
      <c r="J97" s="25" t="n"/>
      <c r="K97" s="25" t="n"/>
      <c r="L97" s="25" t="n"/>
      <c r="M97" s="25" t="n"/>
    </row>
    <row r="98">
      <c r="A98" s="26" t="n"/>
      <c r="B98" s="25" t="n"/>
      <c r="C98" s="25" t="n"/>
      <c r="D98" s="25" t="n"/>
      <c r="E98" s="16" t="n"/>
      <c r="F98" s="25" t="n"/>
      <c r="G98" s="26" t="n"/>
      <c r="H98" s="26" t="n"/>
      <c r="I98" s="26" t="n"/>
      <c r="J98" s="25" t="n"/>
      <c r="K98" s="25" t="n"/>
      <c r="L98" s="25" t="n"/>
      <c r="M98" s="25" t="n"/>
    </row>
    <row r="99">
      <c r="A99" s="26" t="n"/>
      <c r="B99" s="25" t="n"/>
      <c r="C99" s="25" t="n"/>
      <c r="D99" s="25" t="n"/>
      <c r="E99" s="16" t="n"/>
      <c r="F99" s="25" t="n"/>
      <c r="G99" s="26" t="n"/>
      <c r="H99" s="26" t="n"/>
      <c r="I99" s="26" t="n"/>
      <c r="J99" s="25" t="n"/>
      <c r="K99" s="25" t="n"/>
      <c r="L99" s="25" t="n"/>
      <c r="M99" s="25" t="n"/>
    </row>
    <row r="100">
      <c r="A100" s="26" t="n"/>
      <c r="B100" s="25" t="n"/>
      <c r="C100" s="25" t="n"/>
      <c r="D100" s="25" t="n"/>
      <c r="E100" s="16" t="n"/>
      <c r="F100" s="25" t="n"/>
      <c r="G100" s="26" t="n"/>
      <c r="H100" s="26" t="n"/>
      <c r="I100" s="26" t="n"/>
      <c r="J100" s="25" t="n"/>
      <c r="K100" s="25" t="n"/>
      <c r="L100" s="25" t="n"/>
      <c r="M100" s="25" t="n"/>
    </row>
    <row r="101">
      <c r="A101" s="26" t="n"/>
      <c r="B101" s="25" t="n"/>
      <c r="C101" s="25" t="n"/>
      <c r="D101" s="25" t="n"/>
      <c r="E101" s="16" t="n"/>
      <c r="F101" s="25" t="n"/>
      <c r="G101" s="26" t="n"/>
      <c r="H101" s="26" t="n"/>
      <c r="I101" s="26" t="n"/>
      <c r="J101" s="25" t="n"/>
      <c r="K101" s="25" t="n"/>
      <c r="L101" s="25" t="n"/>
      <c r="M101" s="25" t="n"/>
    </row>
    <row r="102">
      <c r="A102" s="26" t="n"/>
      <c r="B102" s="25" t="n"/>
      <c r="C102" s="25" t="n"/>
      <c r="D102" s="25" t="n"/>
      <c r="E102" s="16" t="n"/>
      <c r="F102" s="25" t="n"/>
      <c r="G102" s="26" t="n"/>
      <c r="H102" s="26" t="n"/>
      <c r="I102" s="26" t="n"/>
      <c r="J102" s="25" t="n"/>
      <c r="K102" s="25" t="n"/>
      <c r="L102" s="25" t="n"/>
      <c r="M102" s="25" t="n"/>
    </row>
    <row r="103">
      <c r="A103" s="26" t="n"/>
      <c r="B103" s="25" t="n"/>
      <c r="C103" s="25" t="n"/>
      <c r="D103" s="25" t="n"/>
      <c r="E103" s="16" t="n"/>
      <c r="F103" s="25" t="n"/>
      <c r="G103" s="26" t="n"/>
      <c r="H103" s="26" t="n"/>
      <c r="I103" s="26" t="n"/>
      <c r="J103" s="25" t="n"/>
      <c r="K103" s="25" t="n"/>
      <c r="L103" s="25" t="n"/>
      <c r="M103" s="25" t="n"/>
    </row>
    <row r="104">
      <c r="A104" s="26" t="n"/>
      <c r="B104" s="25" t="n"/>
      <c r="C104" s="25" t="n"/>
      <c r="D104" s="25" t="n"/>
      <c r="E104" s="16" t="n"/>
      <c r="F104" s="25" t="n"/>
      <c r="G104" s="26" t="n"/>
      <c r="H104" s="26" t="n"/>
      <c r="I104" s="26" t="n"/>
      <c r="J104" s="25" t="n"/>
      <c r="K104" s="25" t="n"/>
      <c r="L104" s="25" t="n"/>
      <c r="M104" s="25" t="n"/>
    </row>
    <row r="105">
      <c r="A105" s="26" t="n"/>
      <c r="B105" s="25" t="n"/>
      <c r="C105" s="25" t="n"/>
      <c r="D105" s="25" t="n"/>
      <c r="E105" s="16" t="n"/>
      <c r="F105" s="25" t="n"/>
      <c r="G105" s="26" t="n"/>
      <c r="H105" s="26" t="n"/>
      <c r="I105" s="26" t="n"/>
      <c r="J105" s="25" t="n"/>
      <c r="K105" s="25" t="n"/>
      <c r="L105" s="25" t="n"/>
      <c r="M105" s="25" t="n"/>
    </row>
    <row r="106">
      <c r="A106" s="26" t="n"/>
      <c r="B106" s="25" t="n"/>
      <c r="C106" s="25" t="n"/>
      <c r="D106" s="25" t="n"/>
      <c r="E106" s="16" t="n"/>
      <c r="F106" s="25" t="n"/>
      <c r="G106" s="26" t="n"/>
      <c r="H106" s="26" t="n"/>
      <c r="I106" s="26" t="n"/>
      <c r="J106" s="25" t="n"/>
      <c r="K106" s="25" t="n"/>
      <c r="L106" s="25" t="n"/>
      <c r="M106" s="25" t="n"/>
    </row>
    <row r="107">
      <c r="A107" s="26" t="n"/>
      <c r="B107" s="25" t="n"/>
      <c r="C107" s="25" t="n"/>
      <c r="D107" s="25" t="n"/>
      <c r="E107" s="16" t="n"/>
      <c r="F107" s="25" t="n"/>
      <c r="G107" s="26" t="n"/>
      <c r="H107" s="26" t="n"/>
      <c r="I107" s="26" t="n"/>
      <c r="J107" s="25" t="n"/>
      <c r="K107" s="25" t="n"/>
      <c r="L107" s="25" t="n"/>
      <c r="M107" s="25" t="n"/>
    </row>
    <row r="108">
      <c r="A108" s="26" t="n"/>
      <c r="B108" s="25" t="n"/>
      <c r="C108" s="25" t="n"/>
      <c r="D108" s="25" t="n"/>
      <c r="E108" s="16" t="n"/>
      <c r="F108" s="25" t="n"/>
      <c r="G108" s="26" t="n"/>
      <c r="H108" s="26" t="n"/>
      <c r="I108" s="26" t="n"/>
      <c r="J108" s="25" t="n"/>
      <c r="K108" s="25" t="n"/>
      <c r="L108" s="25" t="n"/>
      <c r="M108" s="25" t="n"/>
    </row>
    <row r="109">
      <c r="A109" s="26" t="n"/>
      <c r="B109" s="25" t="n"/>
      <c r="C109" s="25" t="n"/>
      <c r="D109" s="25" t="n"/>
      <c r="E109" s="16" t="n"/>
      <c r="F109" s="25" t="n"/>
      <c r="G109" s="26" t="n"/>
      <c r="H109" s="26" t="n"/>
      <c r="I109" s="26" t="n"/>
      <c r="J109" s="25" t="n"/>
      <c r="K109" s="25" t="n"/>
      <c r="L109" s="25" t="n"/>
      <c r="M109" s="25" t="n"/>
    </row>
    <row r="110">
      <c r="A110" s="26" t="n"/>
      <c r="B110" s="25" t="n"/>
      <c r="C110" s="25" t="n"/>
      <c r="D110" s="25" t="n"/>
      <c r="E110" s="16" t="n"/>
      <c r="F110" s="25" t="n"/>
      <c r="G110" s="26" t="n"/>
      <c r="H110" s="26" t="n"/>
      <c r="I110" s="26" t="n"/>
      <c r="J110" s="25" t="n"/>
      <c r="K110" s="25" t="n"/>
      <c r="L110" s="25" t="n"/>
      <c r="M110" s="25" t="n"/>
    </row>
    <row r="111">
      <c r="A111" s="26" t="n"/>
      <c r="B111" s="25" t="n"/>
      <c r="C111" s="25" t="n"/>
      <c r="D111" s="25" t="n"/>
      <c r="E111" s="16" t="n"/>
      <c r="F111" s="25" t="n"/>
      <c r="G111" s="26" t="n"/>
      <c r="H111" s="26" t="n"/>
      <c r="I111" s="26" t="n"/>
      <c r="J111" s="25" t="n"/>
      <c r="K111" s="25" t="n"/>
      <c r="L111" s="25" t="n"/>
      <c r="M111" s="25" t="n"/>
    </row>
    <row r="112">
      <c r="A112" s="26" t="n"/>
      <c r="B112" s="25" t="n"/>
      <c r="C112" s="25" t="n"/>
      <c r="D112" s="25" t="n"/>
      <c r="E112" s="16" t="n"/>
      <c r="F112" s="25" t="n"/>
      <c r="G112" s="26" t="n"/>
      <c r="H112" s="26" t="n"/>
      <c r="I112" s="26" t="n"/>
      <c r="J112" s="25" t="n"/>
      <c r="K112" s="25" t="n"/>
      <c r="L112" s="25" t="n"/>
      <c r="M112" s="25" t="n"/>
    </row>
    <row r="113">
      <c r="A113" s="26" t="n"/>
      <c r="B113" s="25" t="n"/>
      <c r="C113" s="25" t="n"/>
      <c r="D113" s="25" t="n"/>
      <c r="E113" s="16" t="n"/>
      <c r="F113" s="25" t="n"/>
      <c r="G113" s="26" t="n"/>
      <c r="H113" s="26" t="n"/>
      <c r="I113" s="26" t="n"/>
      <c r="J113" s="25" t="n"/>
      <c r="K113" s="25" t="n"/>
      <c r="L113" s="25" t="n"/>
      <c r="M113" s="25" t="n"/>
    </row>
    <row r="114">
      <c r="A114" s="26" t="n"/>
      <c r="B114" s="25" t="n"/>
      <c r="C114" s="25" t="n"/>
      <c r="D114" s="25" t="n"/>
      <c r="E114" s="16" t="n"/>
      <c r="F114" s="25" t="n"/>
      <c r="G114" s="26" t="n"/>
      <c r="H114" s="26" t="n"/>
      <c r="I114" s="26" t="n"/>
      <c r="J114" s="25" t="n"/>
      <c r="K114" s="25" t="n"/>
      <c r="L114" s="25" t="n"/>
      <c r="M114" s="25" t="n"/>
    </row>
    <row r="115">
      <c r="A115" s="26" t="n"/>
      <c r="B115" s="25" t="n"/>
      <c r="C115" s="25" t="n"/>
      <c r="D115" s="25" t="n"/>
      <c r="E115" s="16" t="n"/>
      <c r="F115" s="25" t="n"/>
      <c r="G115" s="26" t="n"/>
      <c r="H115" s="26" t="n"/>
      <c r="I115" s="26" t="n"/>
      <c r="J115" s="25" t="n"/>
      <c r="K115" s="25" t="n"/>
      <c r="L115" s="25" t="n"/>
      <c r="M115" s="25" t="n"/>
    </row>
    <row r="116">
      <c r="A116" s="26" t="n"/>
      <c r="B116" s="25" t="n"/>
      <c r="C116" s="25" t="n"/>
      <c r="D116" s="25" t="n"/>
      <c r="E116" s="16" t="n"/>
      <c r="F116" s="25" t="n"/>
      <c r="G116" s="26" t="n"/>
      <c r="H116" s="26" t="n"/>
      <c r="I116" s="26" t="n"/>
      <c r="J116" s="25" t="n"/>
      <c r="K116" s="25" t="n"/>
      <c r="L116" s="25" t="n"/>
      <c r="M116" s="25" t="n"/>
    </row>
    <row r="117">
      <c r="A117" s="26" t="n"/>
      <c r="B117" s="25" t="n"/>
      <c r="C117" s="25" t="n"/>
      <c r="D117" s="25" t="n"/>
      <c r="E117" s="16" t="n"/>
      <c r="F117" s="25" t="n"/>
      <c r="G117" s="26" t="n"/>
      <c r="H117" s="26" t="n"/>
      <c r="I117" s="26" t="n"/>
      <c r="J117" s="25" t="n"/>
      <c r="K117" s="25" t="n"/>
      <c r="L117" s="25" t="n"/>
      <c r="M117" s="25" t="n"/>
    </row>
    <row r="118">
      <c r="A118" s="26" t="n"/>
      <c r="B118" s="25" t="n"/>
      <c r="C118" s="25" t="n"/>
      <c r="D118" s="25" t="n"/>
      <c r="E118" s="16" t="n"/>
      <c r="F118" s="25" t="n"/>
      <c r="G118" s="26" t="n"/>
      <c r="H118" s="26" t="n"/>
      <c r="I118" s="26" t="n"/>
      <c r="J118" s="25" t="n"/>
      <c r="K118" s="25" t="n"/>
      <c r="L118" s="25" t="n"/>
      <c r="M118" s="25" t="n"/>
    </row>
    <row r="119">
      <c r="A119" s="26" t="n"/>
      <c r="B119" s="25" t="n"/>
      <c r="C119" s="25" t="n"/>
      <c r="D119" s="25" t="n"/>
      <c r="E119" s="16" t="n"/>
      <c r="F119" s="25" t="n"/>
      <c r="G119" s="26" t="n"/>
      <c r="H119" s="26" t="n"/>
      <c r="I119" s="26" t="n"/>
      <c r="J119" s="25" t="n"/>
      <c r="K119" s="25" t="n"/>
      <c r="L119" s="25" t="n"/>
      <c r="M119" s="25" t="n"/>
    </row>
    <row r="120">
      <c r="A120" s="26" t="n"/>
      <c r="B120" s="25" t="n"/>
      <c r="C120" s="25" t="n"/>
      <c r="D120" s="25" t="n"/>
      <c r="E120" s="16" t="n"/>
      <c r="F120" s="25" t="n"/>
      <c r="G120" s="26" t="n"/>
      <c r="H120" s="26" t="n"/>
      <c r="I120" s="26" t="n"/>
      <c r="J120" s="25" t="n"/>
      <c r="K120" s="25" t="n"/>
      <c r="L120" s="25" t="n"/>
      <c r="M120" s="25" t="n"/>
    </row>
    <row r="121">
      <c r="A121" s="26" t="n"/>
      <c r="B121" s="25" t="n"/>
      <c r="C121" s="25" t="n"/>
      <c r="D121" s="25" t="n"/>
      <c r="E121" s="16" t="n"/>
      <c r="F121" s="25" t="n"/>
      <c r="G121" s="26" t="n"/>
      <c r="H121" s="26" t="n"/>
      <c r="I121" s="26" t="n"/>
      <c r="J121" s="25" t="n"/>
      <c r="K121" s="25" t="n"/>
      <c r="L121" s="25" t="n"/>
      <c r="M121" s="25" t="n"/>
    </row>
    <row r="122">
      <c r="A122" s="26" t="n"/>
      <c r="B122" s="25" t="n"/>
      <c r="C122" s="25" t="n"/>
      <c r="D122" s="25" t="n"/>
      <c r="E122" s="16" t="n"/>
      <c r="F122" s="25" t="n"/>
      <c r="G122" s="26" t="n"/>
      <c r="H122" s="26" t="n"/>
      <c r="I122" s="26" t="n"/>
      <c r="J122" s="25" t="n"/>
      <c r="K122" s="25" t="n"/>
      <c r="L122" s="25" t="n"/>
      <c r="M122" s="25" t="n"/>
    </row>
    <row r="123">
      <c r="A123" s="26" t="n"/>
      <c r="B123" s="25" t="n"/>
      <c r="C123" s="25" t="n"/>
      <c r="D123" s="25" t="n"/>
      <c r="E123" s="16" t="n"/>
      <c r="F123" s="25" t="n"/>
      <c r="G123" s="26" t="n"/>
      <c r="H123" s="26" t="n"/>
      <c r="I123" s="26" t="n"/>
      <c r="J123" s="25" t="n"/>
      <c r="K123" s="25" t="n"/>
      <c r="L123" s="25" t="n"/>
      <c r="M123" s="25" t="n"/>
    </row>
    <row r="124">
      <c r="A124" s="26" t="n"/>
      <c r="B124" s="25" t="n"/>
      <c r="C124" s="25" t="n"/>
      <c r="D124" s="25" t="n"/>
      <c r="E124" s="16" t="n"/>
      <c r="F124" s="25" t="n"/>
      <c r="G124" s="26" t="n"/>
      <c r="H124" s="26" t="n"/>
      <c r="I124" s="26" t="n"/>
      <c r="J124" s="25" t="n"/>
      <c r="K124" s="25" t="n"/>
      <c r="L124" s="25" t="n"/>
      <c r="M124" s="25" t="n"/>
    </row>
    <row r="125">
      <c r="A125" s="26" t="n"/>
      <c r="B125" s="25" t="n"/>
      <c r="C125" s="25" t="n"/>
      <c r="D125" s="25" t="n"/>
      <c r="E125" s="16" t="n"/>
      <c r="F125" s="25" t="n"/>
      <c r="G125" s="26" t="n"/>
      <c r="H125" s="26" t="n"/>
      <c r="I125" s="26" t="n"/>
      <c r="J125" s="25" t="n"/>
      <c r="K125" s="25" t="n"/>
      <c r="L125" s="25" t="n"/>
      <c r="M125" s="25" t="n"/>
    </row>
    <row r="126">
      <c r="A126" s="26" t="n"/>
      <c r="B126" s="25" t="n"/>
      <c r="C126" s="25" t="n"/>
      <c r="D126" s="25" t="n"/>
      <c r="E126" s="16" t="n"/>
      <c r="F126" s="25" t="n"/>
      <c r="G126" s="26" t="n"/>
      <c r="H126" s="26" t="n"/>
      <c r="I126" s="26" t="n"/>
      <c r="J126" s="25" t="n"/>
      <c r="K126" s="25" t="n"/>
      <c r="L126" s="25" t="n"/>
      <c r="M126" s="25" t="n"/>
    </row>
    <row r="127">
      <c r="A127" s="26" t="n"/>
      <c r="B127" s="25" t="n"/>
      <c r="C127" s="25" t="n"/>
      <c r="D127" s="25" t="n"/>
      <c r="E127" s="16" t="n"/>
      <c r="F127" s="25" t="n"/>
      <c r="G127" s="26" t="n"/>
      <c r="H127" s="26" t="n"/>
      <c r="I127" s="26" t="n"/>
      <c r="J127" s="25" t="n"/>
      <c r="K127" s="25" t="n"/>
      <c r="L127" s="25" t="n"/>
      <c r="M127" s="25" t="n"/>
    </row>
    <row r="128">
      <c r="A128" s="26" t="n"/>
      <c r="B128" s="25" t="n"/>
      <c r="C128" s="25" t="n"/>
      <c r="D128" s="25" t="n"/>
      <c r="E128" s="16" t="n"/>
      <c r="F128" s="25" t="n"/>
      <c r="G128" s="26" t="n"/>
      <c r="H128" s="26" t="n"/>
      <c r="I128" s="26" t="n"/>
      <c r="J128" s="25" t="n"/>
      <c r="K128" s="25" t="n"/>
      <c r="L128" s="25" t="n"/>
      <c r="M128" s="25" t="n"/>
    </row>
    <row r="129">
      <c r="A129" s="26" t="n"/>
      <c r="B129" s="25" t="n"/>
      <c r="C129" s="25" t="n"/>
      <c r="D129" s="25" t="n"/>
      <c r="E129" s="16" t="n"/>
      <c r="F129" s="25" t="n"/>
      <c r="G129" s="26" t="n"/>
      <c r="H129" s="26" t="n"/>
      <c r="I129" s="26" t="n"/>
      <c r="J129" s="25" t="n"/>
      <c r="K129" s="25" t="n"/>
      <c r="L129" s="25" t="n"/>
      <c r="M129" s="25" t="n"/>
    </row>
    <row r="130">
      <c r="A130" s="26" t="n"/>
      <c r="B130" s="25" t="n"/>
      <c r="C130" s="25" t="n"/>
      <c r="D130" s="25" t="n"/>
      <c r="E130" s="16" t="n"/>
      <c r="F130" s="25" t="n"/>
      <c r="G130" s="26" t="n"/>
      <c r="H130" s="26" t="n"/>
      <c r="I130" s="26" t="n"/>
      <c r="J130" s="25" t="n"/>
      <c r="K130" s="25" t="n"/>
      <c r="L130" s="25" t="n"/>
      <c r="M130" s="25" t="n"/>
    </row>
    <row r="131">
      <c r="A131" s="26" t="n"/>
      <c r="B131" s="25" t="n"/>
      <c r="C131" s="25" t="n"/>
      <c r="D131" s="25" t="n"/>
      <c r="E131" s="16" t="n"/>
      <c r="F131" s="25" t="n"/>
      <c r="G131" s="26" t="n"/>
      <c r="H131" s="26" t="n"/>
      <c r="I131" s="26" t="n"/>
      <c r="J131" s="25" t="n"/>
      <c r="K131" s="25" t="n"/>
      <c r="L131" s="25" t="n"/>
      <c r="M131" s="25" t="n"/>
    </row>
    <row r="132">
      <c r="A132" s="26" t="n"/>
      <c r="B132" s="25" t="n"/>
      <c r="C132" s="25" t="n"/>
      <c r="D132" s="25" t="n"/>
      <c r="E132" s="16" t="n"/>
      <c r="F132" s="25" t="n"/>
      <c r="G132" s="26" t="n"/>
      <c r="H132" s="26" t="n"/>
      <c r="I132" s="26" t="n"/>
      <c r="J132" s="25" t="n"/>
      <c r="K132" s="25" t="n"/>
      <c r="L132" s="25" t="n"/>
      <c r="M132" s="25" t="n"/>
    </row>
    <row r="133">
      <c r="A133" s="26" t="n"/>
      <c r="B133" s="25" t="n"/>
      <c r="C133" s="25" t="n"/>
      <c r="D133" s="25" t="n"/>
      <c r="E133" s="16" t="n"/>
      <c r="F133" s="25" t="n"/>
      <c r="G133" s="26" t="n"/>
      <c r="H133" s="26" t="n"/>
      <c r="I133" s="26" t="n"/>
      <c r="J133" s="25" t="n"/>
      <c r="K133" s="25" t="n"/>
      <c r="L133" s="25" t="n"/>
      <c r="M133" s="25" t="n"/>
    </row>
    <row r="134">
      <c r="A134" s="26" t="n"/>
      <c r="B134" s="25" t="n"/>
      <c r="C134" s="25" t="n"/>
      <c r="D134" s="25" t="n"/>
      <c r="E134" s="16" t="n"/>
      <c r="F134" s="25" t="n"/>
      <c r="G134" s="26" t="n"/>
      <c r="H134" s="26" t="n"/>
      <c r="I134" s="26" t="n"/>
      <c r="J134" s="25" t="n"/>
      <c r="K134" s="25" t="n"/>
      <c r="L134" s="25" t="n"/>
      <c r="M134" s="25" t="n"/>
    </row>
    <row r="135">
      <c r="A135" s="26" t="n"/>
      <c r="B135" s="25" t="n"/>
      <c r="C135" s="25" t="n"/>
      <c r="D135" s="25" t="n"/>
      <c r="E135" s="16" t="n"/>
      <c r="F135" s="25" t="n"/>
      <c r="G135" s="26" t="n"/>
      <c r="H135" s="26" t="n"/>
      <c r="I135" s="26" t="n"/>
      <c r="J135" s="25" t="n"/>
      <c r="K135" s="25" t="n"/>
      <c r="L135" s="25" t="n"/>
      <c r="M135" s="25" t="n"/>
    </row>
    <row r="136">
      <c r="A136" s="26" t="n"/>
      <c r="B136" s="25" t="n"/>
      <c r="C136" s="25" t="n"/>
      <c r="D136" s="25" t="n"/>
      <c r="E136" s="16" t="n"/>
      <c r="F136" s="25" t="n"/>
      <c r="G136" s="26" t="n"/>
      <c r="H136" s="26" t="n"/>
      <c r="I136" s="26" t="n"/>
      <c r="J136" s="25" t="n"/>
      <c r="K136" s="25" t="n"/>
      <c r="L136" s="25" t="n"/>
      <c r="M136" s="25" t="n"/>
    </row>
    <row r="137">
      <c r="A137" s="26" t="n"/>
      <c r="B137" s="25" t="n"/>
      <c r="C137" s="25" t="n"/>
      <c r="D137" s="25" t="n"/>
      <c r="E137" s="16" t="n"/>
      <c r="F137" s="25" t="n"/>
      <c r="G137" s="26" t="n"/>
      <c r="H137" s="26" t="n"/>
      <c r="I137" s="26" t="n"/>
      <c r="J137" s="25" t="n"/>
      <c r="K137" s="25" t="n"/>
      <c r="L137" s="25" t="n"/>
      <c r="M137" s="25" t="n"/>
    </row>
    <row r="138">
      <c r="A138" s="26" t="n"/>
      <c r="B138" s="25" t="n"/>
      <c r="C138" s="25" t="n"/>
      <c r="D138" s="25" t="n"/>
      <c r="E138" s="16" t="n"/>
      <c r="F138" s="25" t="n"/>
      <c r="G138" s="26" t="n"/>
      <c r="H138" s="26" t="n"/>
      <c r="I138" s="26" t="n"/>
      <c r="J138" s="25" t="n"/>
      <c r="K138" s="25" t="n"/>
      <c r="L138" s="25" t="n"/>
      <c r="M138" s="25" t="n"/>
    </row>
    <row r="139">
      <c r="A139" s="26" t="n"/>
      <c r="B139" s="25" t="n"/>
      <c r="C139" s="25" t="n"/>
      <c r="D139" s="25" t="n"/>
      <c r="E139" s="16" t="n"/>
      <c r="F139" s="25" t="n"/>
      <c r="G139" s="26" t="n"/>
      <c r="H139" s="26" t="n"/>
      <c r="I139" s="26" t="n"/>
      <c r="J139" s="25" t="n"/>
      <c r="K139" s="25" t="n"/>
      <c r="L139" s="25" t="n"/>
      <c r="M139" s="25" t="n"/>
    </row>
    <row r="140">
      <c r="A140" s="26" t="n"/>
      <c r="B140" s="25" t="n"/>
      <c r="C140" s="25" t="n"/>
      <c r="D140" s="25" t="n"/>
      <c r="E140" s="16" t="n"/>
      <c r="F140" s="25" t="n"/>
      <c r="G140" s="26" t="n"/>
      <c r="H140" s="26" t="n"/>
      <c r="I140" s="26" t="n"/>
      <c r="J140" s="25" t="n"/>
      <c r="K140" s="25" t="n"/>
      <c r="L140" s="25" t="n"/>
      <c r="M140" s="25" t="n"/>
    </row>
    <row r="141">
      <c r="A141" s="26" t="n"/>
      <c r="B141" s="25" t="n"/>
      <c r="C141" s="25" t="n"/>
      <c r="D141" s="25" t="n"/>
      <c r="E141" s="16" t="n"/>
      <c r="F141" s="25" t="n"/>
      <c r="G141" s="26" t="n"/>
      <c r="H141" s="26" t="n"/>
      <c r="I141" s="26" t="n"/>
      <c r="J141" s="25" t="n"/>
      <c r="K141" s="25" t="n"/>
      <c r="L141" s="25" t="n"/>
      <c r="M141" s="25" t="n"/>
    </row>
    <row r="142">
      <c r="A142" s="26" t="n"/>
      <c r="B142" s="25" t="n"/>
      <c r="C142" s="25" t="n"/>
      <c r="D142" s="25" t="n"/>
      <c r="E142" s="16" t="n"/>
      <c r="F142" s="25" t="n"/>
      <c r="G142" s="26" t="n"/>
      <c r="H142" s="26" t="n"/>
      <c r="I142" s="26" t="n"/>
      <c r="J142" s="25" t="n"/>
      <c r="K142" s="25" t="n"/>
      <c r="L142" s="25" t="n"/>
      <c r="M142" s="25" t="n"/>
    </row>
    <row r="143">
      <c r="A143" s="26" t="n"/>
      <c r="B143" s="25" t="n"/>
      <c r="C143" s="25" t="n"/>
      <c r="D143" s="25" t="n"/>
      <c r="E143" s="16" t="n"/>
      <c r="F143" s="25" t="n"/>
      <c r="G143" s="26" t="n"/>
      <c r="H143" s="26" t="n"/>
      <c r="I143" s="26" t="n"/>
      <c r="J143" s="25" t="n"/>
      <c r="K143" s="25" t="n"/>
      <c r="L143" s="25" t="n"/>
      <c r="M143" s="25" t="n"/>
    </row>
    <row r="144">
      <c r="A144" s="26" t="n"/>
      <c r="B144" s="25" t="n"/>
      <c r="C144" s="25" t="n"/>
      <c r="D144" s="25" t="n"/>
      <c r="E144" s="16" t="n"/>
      <c r="F144" s="25" t="n"/>
      <c r="G144" s="26" t="n"/>
      <c r="H144" s="26" t="n"/>
      <c r="I144" s="26" t="n"/>
      <c r="J144" s="25" t="n"/>
      <c r="K144" s="25" t="n"/>
      <c r="L144" s="25" t="n"/>
      <c r="M144" s="25" t="n"/>
    </row>
    <row r="145">
      <c r="A145" s="26" t="n"/>
      <c r="B145" s="25" t="n"/>
      <c r="C145" s="25" t="n"/>
      <c r="D145" s="25" t="n"/>
      <c r="E145" s="16" t="n"/>
      <c r="F145" s="25" t="n"/>
      <c r="G145" s="26" t="n"/>
      <c r="H145" s="26" t="n"/>
      <c r="I145" s="26" t="n"/>
      <c r="J145" s="25" t="n"/>
      <c r="K145" s="25" t="n"/>
      <c r="L145" s="25" t="n"/>
      <c r="M145" s="25" t="n"/>
    </row>
    <row r="146">
      <c r="A146" s="26" t="n"/>
      <c r="B146" s="25" t="n"/>
      <c r="C146" s="25" t="n"/>
      <c r="D146" s="25" t="n"/>
      <c r="E146" s="16" t="n"/>
      <c r="F146" s="25" t="n"/>
      <c r="G146" s="26" t="n"/>
      <c r="H146" s="26" t="n"/>
      <c r="I146" s="26" t="n"/>
      <c r="J146" s="25" t="n"/>
      <c r="K146" s="25" t="n"/>
      <c r="L146" s="25" t="n"/>
      <c r="M146" s="25" t="n"/>
    </row>
    <row r="147">
      <c r="A147" s="26" t="n"/>
      <c r="B147" s="25" t="n"/>
      <c r="C147" s="25" t="n"/>
      <c r="D147" s="25" t="n"/>
      <c r="E147" s="16" t="n"/>
      <c r="F147" s="25" t="n"/>
      <c r="G147" s="26" t="n"/>
      <c r="H147" s="26" t="n"/>
      <c r="I147" s="26" t="n"/>
      <c r="J147" s="25" t="n"/>
      <c r="K147" s="25" t="n"/>
      <c r="L147" s="25" t="n"/>
      <c r="M147" s="25" t="n"/>
    </row>
    <row r="148">
      <c r="A148" s="26" t="n"/>
      <c r="B148" s="25" t="n"/>
      <c r="C148" s="25" t="n"/>
      <c r="D148" s="25" t="n"/>
      <c r="E148" s="16" t="n"/>
      <c r="F148" s="25" t="n"/>
      <c r="G148" s="26" t="n"/>
      <c r="H148" s="26" t="n"/>
      <c r="I148" s="26" t="n"/>
      <c r="J148" s="25" t="n"/>
      <c r="K148" s="25" t="n"/>
      <c r="L148" s="25" t="n"/>
      <c r="M148" s="25" t="n"/>
    </row>
    <row r="149">
      <c r="A149" s="26" t="n"/>
      <c r="B149" s="25" t="n"/>
      <c r="C149" s="25" t="n"/>
      <c r="D149" s="25" t="n"/>
      <c r="E149" s="16" t="n"/>
      <c r="F149" s="25" t="n"/>
      <c r="G149" s="26" t="n"/>
      <c r="H149" s="26" t="n"/>
      <c r="I149" s="26" t="n"/>
      <c r="J149" s="25" t="n"/>
      <c r="K149" s="25" t="n"/>
      <c r="L149" s="25" t="n"/>
      <c r="M149" s="25" t="n"/>
    </row>
    <row r="150">
      <c r="A150" s="26" t="n"/>
      <c r="B150" s="25" t="n"/>
      <c r="C150" s="25" t="n"/>
      <c r="D150" s="25" t="n"/>
      <c r="E150" s="16" t="n"/>
      <c r="F150" s="25" t="n"/>
      <c r="G150" s="26" t="n"/>
      <c r="H150" s="26" t="n"/>
      <c r="I150" s="26" t="n"/>
      <c r="J150" s="25" t="n"/>
      <c r="K150" s="25" t="n"/>
      <c r="L150" s="25" t="n"/>
      <c r="M150" s="25" t="n"/>
    </row>
    <row r="151">
      <c r="A151" s="26" t="n"/>
      <c r="B151" s="25" t="n"/>
      <c r="C151" s="25" t="n"/>
      <c r="D151" s="25" t="n"/>
      <c r="E151" s="16" t="n"/>
      <c r="F151" s="25" t="n"/>
      <c r="G151" s="26" t="n"/>
      <c r="H151" s="26" t="n"/>
      <c r="I151" s="26" t="n"/>
      <c r="J151" s="25" t="n"/>
      <c r="K151" s="25" t="n"/>
      <c r="L151" s="25" t="n"/>
      <c r="M151" s="25" t="n"/>
    </row>
    <row r="152">
      <c r="A152" s="26" t="n"/>
      <c r="B152" s="25" t="n"/>
      <c r="C152" s="25" t="n"/>
      <c r="D152" s="25" t="n"/>
      <c r="E152" s="16" t="n"/>
      <c r="F152" s="25" t="n"/>
      <c r="G152" s="26" t="n"/>
      <c r="H152" s="26" t="n"/>
      <c r="I152" s="26" t="n"/>
      <c r="J152" s="25" t="n"/>
      <c r="K152" s="25" t="n"/>
      <c r="L152" s="25" t="n"/>
      <c r="M152" s="25" t="n"/>
    </row>
    <row r="153">
      <c r="A153" s="26" t="n"/>
      <c r="B153" s="25" t="n"/>
      <c r="C153" s="25" t="n"/>
      <c r="D153" s="25" t="n"/>
      <c r="E153" s="16" t="n"/>
      <c r="F153" s="25" t="n"/>
      <c r="G153" s="26" t="n"/>
      <c r="H153" s="26" t="n"/>
      <c r="I153" s="26" t="n"/>
      <c r="J153" s="25" t="n"/>
      <c r="K153" s="25" t="n"/>
      <c r="L153" s="25" t="n"/>
      <c r="M153" s="25" t="n"/>
    </row>
    <row r="154">
      <c r="A154" s="26" t="n"/>
      <c r="B154" s="25" t="n"/>
      <c r="C154" s="25" t="n"/>
      <c r="D154" s="25" t="n"/>
      <c r="E154" s="16" t="n"/>
      <c r="F154" s="25" t="n"/>
      <c r="G154" s="26" t="n"/>
      <c r="H154" s="26" t="n"/>
      <c r="I154" s="26" t="n"/>
      <c r="J154" s="25" t="n"/>
      <c r="K154" s="25" t="n"/>
      <c r="L154" s="25" t="n"/>
      <c r="M154" s="25" t="n"/>
    </row>
    <row r="155">
      <c r="A155" s="26" t="n"/>
      <c r="B155" s="25" t="n"/>
      <c r="C155" s="25" t="n"/>
      <c r="D155" s="25" t="n"/>
      <c r="E155" s="16" t="n"/>
      <c r="F155" s="25" t="n"/>
      <c r="G155" s="26" t="n"/>
      <c r="H155" s="26" t="n"/>
      <c r="I155" s="26" t="n"/>
      <c r="J155" s="25" t="n"/>
      <c r="K155" s="25" t="n"/>
      <c r="L155" s="25" t="n"/>
      <c r="M155" s="25" t="n"/>
    </row>
    <row r="156">
      <c r="A156" s="26" t="n"/>
      <c r="B156" s="25" t="n"/>
      <c r="C156" s="25" t="n"/>
      <c r="D156" s="25" t="n"/>
      <c r="E156" s="16" t="n"/>
      <c r="F156" s="25" t="n"/>
      <c r="G156" s="26" t="n"/>
      <c r="H156" s="26" t="n"/>
      <c r="I156" s="26" t="n"/>
      <c r="J156" s="25" t="n"/>
      <c r="K156" s="25" t="n"/>
      <c r="L156" s="25" t="n"/>
      <c r="M156" s="25" t="n"/>
    </row>
    <row r="157">
      <c r="A157" s="26" t="n"/>
      <c r="B157" s="25" t="n"/>
      <c r="C157" s="25" t="n"/>
      <c r="D157" s="25" t="n"/>
      <c r="E157" s="16" t="n"/>
      <c r="F157" s="25" t="n"/>
      <c r="G157" s="26" t="n"/>
      <c r="H157" s="26" t="n"/>
      <c r="I157" s="26" t="n"/>
      <c r="J157" s="25" t="n"/>
      <c r="K157" s="25" t="n"/>
      <c r="L157" s="25" t="n"/>
      <c r="M157" s="25" t="n"/>
    </row>
    <row r="158">
      <c r="A158" s="26" t="n"/>
      <c r="B158" s="25" t="n"/>
      <c r="C158" s="25" t="n"/>
      <c r="D158" s="25" t="n"/>
      <c r="E158" s="16" t="n"/>
      <c r="F158" s="25" t="n"/>
      <c r="G158" s="26" t="n"/>
      <c r="H158" s="26" t="n"/>
      <c r="I158" s="26" t="n"/>
      <c r="J158" s="25" t="n"/>
      <c r="K158" s="25" t="n"/>
      <c r="L158" s="25" t="n"/>
      <c r="M158" s="25" t="n"/>
    </row>
    <row r="159">
      <c r="A159" s="26" t="n"/>
      <c r="B159" s="25" t="n"/>
      <c r="C159" s="25" t="n"/>
      <c r="D159" s="25" t="n"/>
      <c r="E159" s="16" t="n"/>
      <c r="F159" s="25" t="n"/>
      <c r="G159" s="26" t="n"/>
      <c r="H159" s="26" t="n"/>
      <c r="I159" s="26" t="n"/>
      <c r="J159" s="25" t="n"/>
      <c r="K159" s="25" t="n"/>
      <c r="L159" s="25" t="n"/>
      <c r="M159" s="25" t="n"/>
    </row>
    <row r="160">
      <c r="A160" s="26" t="n"/>
      <c r="B160" s="25" t="n"/>
      <c r="C160" s="25" t="n"/>
      <c r="D160" s="25" t="n"/>
      <c r="E160" s="16" t="n"/>
      <c r="F160" s="25" t="n"/>
      <c r="G160" s="26" t="n"/>
      <c r="H160" s="26" t="n"/>
      <c r="I160" s="26" t="n"/>
      <c r="J160" s="25" t="n"/>
      <c r="K160" s="25" t="n"/>
      <c r="L160" s="25" t="n"/>
      <c r="M160" s="25" t="n"/>
    </row>
    <row r="161">
      <c r="A161" s="26" t="n"/>
      <c r="B161" s="25" t="n"/>
      <c r="C161" s="25" t="n"/>
      <c r="D161" s="25" t="n"/>
      <c r="E161" s="16" t="n"/>
      <c r="F161" s="25" t="n"/>
      <c r="G161" s="26" t="n"/>
      <c r="H161" s="26" t="n"/>
      <c r="I161" s="26" t="n"/>
      <c r="J161" s="25" t="n"/>
      <c r="K161" s="25" t="n"/>
      <c r="L161" s="25" t="n"/>
      <c r="M161" s="25" t="n"/>
    </row>
    <row r="162">
      <c r="A162" s="26" t="n"/>
      <c r="B162" s="25" t="n"/>
      <c r="C162" s="25" t="n"/>
      <c r="D162" s="25" t="n"/>
      <c r="E162" s="16" t="n"/>
      <c r="F162" s="25" t="n"/>
      <c r="G162" s="26" t="n"/>
      <c r="H162" s="26" t="n"/>
      <c r="I162" s="26" t="n"/>
      <c r="J162" s="25" t="n"/>
      <c r="K162" s="25" t="n"/>
      <c r="L162" s="25" t="n"/>
      <c r="M162" s="25" t="n"/>
    </row>
    <row r="163">
      <c r="A163" s="26" t="n"/>
      <c r="B163" s="25" t="n"/>
      <c r="C163" s="25" t="n"/>
      <c r="D163" s="25" t="n"/>
      <c r="E163" s="16" t="n"/>
      <c r="F163" s="25" t="n"/>
      <c r="G163" s="26" t="n"/>
      <c r="H163" s="26" t="n"/>
      <c r="I163" s="26" t="n"/>
      <c r="J163" s="25" t="n"/>
      <c r="K163" s="25" t="n"/>
      <c r="L163" s="25" t="n"/>
      <c r="M163" s="25" t="n"/>
    </row>
    <row r="164">
      <c r="A164" s="26" t="n"/>
      <c r="B164" s="25" t="n"/>
      <c r="C164" s="25" t="n"/>
      <c r="D164" s="25" t="n"/>
      <c r="E164" s="16" t="n"/>
      <c r="F164" s="25" t="n"/>
      <c r="G164" s="26" t="n"/>
      <c r="H164" s="26" t="n"/>
      <c r="I164" s="26" t="n"/>
      <c r="J164" s="25" t="n"/>
      <c r="K164" s="25" t="n"/>
      <c r="L164" s="25" t="n"/>
      <c r="M164" s="25" t="n"/>
    </row>
    <row r="165">
      <c r="A165" s="26" t="n"/>
      <c r="B165" s="25" t="n"/>
      <c r="C165" s="25" t="n"/>
      <c r="D165" s="25" t="n"/>
      <c r="E165" s="16" t="n"/>
      <c r="F165" s="25" t="n"/>
      <c r="G165" s="26" t="n"/>
      <c r="H165" s="26" t="n"/>
      <c r="I165" s="26" t="n"/>
      <c r="J165" s="25" t="n"/>
      <c r="K165" s="25" t="n"/>
      <c r="L165" s="25" t="n"/>
      <c r="M165" s="25" t="n"/>
    </row>
    <row r="166">
      <c r="A166" s="26" t="n"/>
      <c r="B166" s="25" t="n"/>
      <c r="C166" s="25" t="n"/>
      <c r="D166" s="25" t="n"/>
      <c r="E166" s="16" t="n"/>
      <c r="F166" s="25" t="n"/>
      <c r="G166" s="26" t="n"/>
      <c r="H166" s="26" t="n"/>
      <c r="I166" s="26" t="n"/>
      <c r="J166" s="25" t="n"/>
      <c r="K166" s="25" t="n"/>
      <c r="L166" s="25" t="n"/>
      <c r="M166" s="25" t="n"/>
    </row>
    <row r="167">
      <c r="A167" s="26" t="n"/>
      <c r="B167" s="25" t="n"/>
      <c r="C167" s="25" t="n"/>
      <c r="D167" s="25" t="n"/>
      <c r="E167" s="16" t="n"/>
      <c r="F167" s="25" t="n"/>
      <c r="G167" s="26" t="n"/>
      <c r="H167" s="26" t="n"/>
      <c r="I167" s="26" t="n"/>
      <c r="J167" s="25" t="n"/>
      <c r="K167" s="25" t="n"/>
      <c r="L167" s="25" t="n"/>
      <c r="M167" s="25" t="n"/>
    </row>
    <row r="168">
      <c r="A168" s="26" t="n"/>
      <c r="B168" s="25" t="n"/>
      <c r="C168" s="25" t="n"/>
      <c r="D168" s="25" t="n"/>
      <c r="E168" s="16" t="n"/>
      <c r="F168" s="25" t="n"/>
      <c r="G168" s="26" t="n"/>
      <c r="H168" s="26" t="n"/>
      <c r="I168" s="26" t="n"/>
      <c r="J168" s="25" t="n"/>
      <c r="K168" s="25" t="n"/>
      <c r="L168" s="25" t="n"/>
      <c r="M168" s="25" t="n"/>
    </row>
    <row r="169">
      <c r="A169" s="26" t="n"/>
      <c r="B169" s="25" t="n"/>
      <c r="C169" s="25" t="n"/>
      <c r="D169" s="25" t="n"/>
      <c r="E169" s="16" t="n"/>
      <c r="F169" s="25" t="n"/>
      <c r="G169" s="26" t="n"/>
      <c r="H169" s="26" t="n"/>
      <c r="I169" s="26" t="n"/>
      <c r="J169" s="25" t="n"/>
      <c r="K169" s="25" t="n"/>
      <c r="L169" s="25" t="n"/>
      <c r="M169" s="25" t="n"/>
    </row>
    <row r="170">
      <c r="A170" s="26" t="n"/>
      <c r="B170" s="25" t="n"/>
      <c r="C170" s="25" t="n"/>
      <c r="D170" s="25" t="n"/>
      <c r="E170" s="16" t="n"/>
      <c r="F170" s="25" t="n"/>
      <c r="G170" s="26" t="n"/>
      <c r="H170" s="26" t="n"/>
      <c r="I170" s="26" t="n"/>
      <c r="J170" s="25" t="n"/>
      <c r="K170" s="25" t="n"/>
      <c r="L170" s="25" t="n"/>
      <c r="M170" s="25" t="n"/>
    </row>
    <row r="171">
      <c r="A171" s="26" t="n"/>
      <c r="B171" s="25" t="n"/>
      <c r="C171" s="25" t="n"/>
      <c r="D171" s="25" t="n"/>
      <c r="E171" s="16" t="n"/>
      <c r="F171" s="25" t="n"/>
      <c r="G171" s="26" t="n"/>
      <c r="H171" s="26" t="n"/>
      <c r="I171" s="26" t="n"/>
      <c r="J171" s="25" t="n"/>
      <c r="K171" s="25" t="n"/>
      <c r="L171" s="25" t="n"/>
      <c r="M171" s="25" t="n"/>
    </row>
    <row r="172">
      <c r="A172" s="26" t="n"/>
      <c r="B172" s="25" t="n"/>
      <c r="C172" s="25" t="n"/>
      <c r="D172" s="25" t="n"/>
      <c r="E172" s="16" t="n"/>
      <c r="F172" s="25" t="n"/>
      <c r="G172" s="26" t="n"/>
      <c r="H172" s="26" t="n"/>
      <c r="I172" s="26" t="n"/>
      <c r="J172" s="25" t="n"/>
      <c r="K172" s="25" t="n"/>
      <c r="L172" s="25" t="n"/>
      <c r="M172" s="25" t="n"/>
    </row>
    <row r="173">
      <c r="A173" s="26" t="n"/>
      <c r="B173" s="25" t="n"/>
      <c r="C173" s="25" t="n"/>
      <c r="D173" s="25" t="n"/>
      <c r="E173" s="16" t="n"/>
      <c r="F173" s="25" t="n"/>
      <c r="G173" s="26" t="n"/>
      <c r="H173" s="26" t="n"/>
      <c r="I173" s="26" t="n"/>
      <c r="J173" s="25" t="n"/>
      <c r="K173" s="25" t="n"/>
      <c r="L173" s="25" t="n"/>
      <c r="M173" s="25" t="n"/>
    </row>
    <row r="174">
      <c r="A174" s="26" t="n"/>
      <c r="B174" s="25" t="n"/>
      <c r="C174" s="25" t="n"/>
      <c r="D174" s="25" t="n"/>
      <c r="E174" s="16" t="n"/>
      <c r="F174" s="25" t="n"/>
      <c r="G174" s="26" t="n"/>
      <c r="H174" s="26" t="n"/>
      <c r="I174" s="26" t="n"/>
      <c r="J174" s="25" t="n"/>
      <c r="K174" s="25" t="n"/>
      <c r="L174" s="25" t="n"/>
      <c r="M174" s="25" t="n"/>
    </row>
    <row r="175">
      <c r="A175" s="26" t="n"/>
      <c r="B175" s="25" t="n"/>
      <c r="C175" s="25" t="n"/>
      <c r="D175" s="25" t="n"/>
      <c r="E175" s="16" t="n"/>
      <c r="F175" s="25" t="n"/>
      <c r="G175" s="26" t="n"/>
      <c r="H175" s="26" t="n"/>
      <c r="I175" s="26" t="n"/>
      <c r="J175" s="25" t="n"/>
      <c r="K175" s="25" t="n"/>
      <c r="L175" s="25" t="n"/>
      <c r="M175" s="25" t="n"/>
    </row>
    <row r="176">
      <c r="A176" s="26" t="n"/>
      <c r="B176" s="25" t="n"/>
      <c r="C176" s="25" t="n"/>
      <c r="D176" s="25" t="n"/>
      <c r="E176" s="16" t="n"/>
      <c r="F176" s="25" t="n"/>
      <c r="G176" s="26" t="n"/>
      <c r="H176" s="26" t="n"/>
      <c r="I176" s="26" t="n"/>
      <c r="J176" s="25" t="n"/>
      <c r="K176" s="25" t="n"/>
      <c r="L176" s="25" t="n"/>
      <c r="M176" s="25" t="n"/>
    </row>
    <row r="177">
      <c r="A177" s="26" t="n"/>
      <c r="B177" s="25" t="n"/>
      <c r="C177" s="25" t="n"/>
      <c r="D177" s="25" t="n"/>
      <c r="E177" s="16" t="n"/>
      <c r="F177" s="25" t="n"/>
      <c r="G177" s="26" t="n"/>
      <c r="H177" s="26" t="n"/>
      <c r="I177" s="26" t="n"/>
      <c r="J177" s="25" t="n"/>
      <c r="K177" s="25" t="n"/>
      <c r="L177" s="25" t="n"/>
      <c r="M177" s="25" t="n"/>
    </row>
    <row r="178">
      <c r="A178" s="26" t="n"/>
      <c r="B178" s="25" t="n"/>
      <c r="C178" s="25" t="n"/>
      <c r="D178" s="25" t="n"/>
      <c r="E178" s="16" t="n"/>
      <c r="F178" s="25" t="n"/>
      <c r="G178" s="26" t="n"/>
      <c r="H178" s="26" t="n"/>
      <c r="I178" s="26" t="n"/>
      <c r="J178" s="25" t="n"/>
      <c r="K178" s="25" t="n"/>
      <c r="L178" s="25" t="n"/>
      <c r="M178" s="25" t="n"/>
    </row>
    <row r="179">
      <c r="A179" s="26" t="n"/>
      <c r="B179" s="25" t="n"/>
      <c r="C179" s="25" t="n"/>
      <c r="D179" s="25" t="n"/>
      <c r="E179" s="16" t="n"/>
      <c r="F179" s="25" t="n"/>
      <c r="G179" s="26" t="n"/>
      <c r="H179" s="26" t="n"/>
      <c r="I179" s="26" t="n"/>
      <c r="J179" s="25" t="n"/>
      <c r="K179" s="25" t="n"/>
      <c r="L179" s="25" t="n"/>
      <c r="M179" s="25" t="n"/>
    </row>
    <row r="180">
      <c r="A180" s="26" t="n"/>
      <c r="B180" s="25" t="n"/>
      <c r="C180" s="25" t="n"/>
      <c r="D180" s="25" t="n"/>
      <c r="E180" s="16" t="n"/>
      <c r="F180" s="25" t="n"/>
      <c r="G180" s="26" t="n"/>
      <c r="H180" s="26" t="n"/>
      <c r="I180" s="26" t="n"/>
      <c r="J180" s="25" t="n"/>
      <c r="K180" s="25" t="n"/>
      <c r="L180" s="25" t="n"/>
      <c r="M180" s="25" t="n"/>
    </row>
    <row r="181">
      <c r="A181" s="26" t="n"/>
      <c r="B181" s="25" t="n"/>
      <c r="C181" s="25" t="n"/>
      <c r="D181" s="25" t="n"/>
      <c r="E181" s="16" t="n"/>
      <c r="F181" s="25" t="n"/>
      <c r="G181" s="26" t="n"/>
      <c r="H181" s="26" t="n"/>
      <c r="I181" s="26" t="n"/>
      <c r="J181" s="25" t="n"/>
      <c r="K181" s="25" t="n"/>
      <c r="L181" s="25" t="n"/>
      <c r="M181" s="25" t="n"/>
    </row>
    <row r="182">
      <c r="A182" s="26" t="n"/>
      <c r="B182" s="25" t="n"/>
      <c r="C182" s="25" t="n"/>
      <c r="D182" s="25" t="n"/>
      <c r="E182" s="16" t="n"/>
      <c r="F182" s="25" t="n"/>
      <c r="G182" s="26" t="n"/>
      <c r="H182" s="26" t="n"/>
      <c r="I182" s="26" t="n"/>
      <c r="J182" s="25" t="n"/>
      <c r="K182" s="25" t="n"/>
      <c r="L182" s="25" t="n"/>
      <c r="M182" s="25" t="n"/>
    </row>
    <row r="183">
      <c r="A183" s="26" t="n"/>
      <c r="B183" s="25" t="n"/>
      <c r="C183" s="25" t="n"/>
      <c r="D183" s="25" t="n"/>
      <c r="E183" s="16" t="n"/>
      <c r="F183" s="25" t="n"/>
      <c r="G183" s="26" t="n"/>
      <c r="H183" s="26" t="n"/>
      <c r="I183" s="26" t="n"/>
      <c r="J183" s="25" t="n"/>
      <c r="K183" s="25" t="n"/>
      <c r="L183" s="25" t="n"/>
      <c r="M183" s="25" t="n"/>
    </row>
    <row r="184">
      <c r="A184" s="26" t="n"/>
      <c r="B184" s="25" t="n"/>
      <c r="C184" s="25" t="n"/>
      <c r="D184" s="25" t="n"/>
      <c r="E184" s="16" t="n"/>
      <c r="F184" s="25" t="n"/>
      <c r="G184" s="26" t="n"/>
      <c r="H184" s="26" t="n"/>
      <c r="I184" s="26" t="n"/>
      <c r="J184" s="25" t="n"/>
      <c r="K184" s="25" t="n"/>
      <c r="L184" s="25" t="n"/>
      <c r="M184" s="25" t="n"/>
    </row>
    <row r="185">
      <c r="A185" s="26" t="n"/>
      <c r="B185" s="25" t="n"/>
      <c r="C185" s="25" t="n"/>
      <c r="D185" s="25" t="n"/>
      <c r="E185" s="16" t="n"/>
      <c r="F185" s="25" t="n"/>
      <c r="G185" s="26" t="n"/>
      <c r="H185" s="26" t="n"/>
      <c r="I185" s="26" t="n"/>
      <c r="J185" s="25" t="n"/>
      <c r="K185" s="25" t="n"/>
      <c r="L185" s="25" t="n"/>
      <c r="M185" s="25" t="n"/>
    </row>
    <row r="186">
      <c r="A186" s="26" t="n"/>
      <c r="B186" s="25" t="n"/>
      <c r="C186" s="25" t="n"/>
      <c r="D186" s="25" t="n"/>
      <c r="E186" s="16" t="n"/>
      <c r="F186" s="25" t="n"/>
      <c r="G186" s="26" t="n"/>
      <c r="H186" s="26" t="n"/>
      <c r="I186" s="26" t="n"/>
      <c r="J186" s="25" t="n"/>
      <c r="K186" s="25" t="n"/>
      <c r="L186" s="25" t="n"/>
      <c r="M186" s="25" t="n"/>
    </row>
    <row r="187">
      <c r="A187" s="26" t="n"/>
      <c r="B187" s="25" t="n"/>
      <c r="C187" s="25" t="n"/>
      <c r="D187" s="25" t="n"/>
      <c r="E187" s="16" t="n"/>
      <c r="F187" s="25" t="n"/>
      <c r="G187" s="26" t="n"/>
      <c r="H187" s="26" t="n"/>
      <c r="I187" s="26" t="n"/>
      <c r="J187" s="25" t="n"/>
      <c r="K187" s="25" t="n"/>
      <c r="L187" s="25" t="n"/>
      <c r="M187" s="25" t="n"/>
    </row>
    <row r="188">
      <c r="A188" s="26" t="n"/>
      <c r="B188" s="25" t="n"/>
      <c r="C188" s="25" t="n"/>
      <c r="D188" s="25" t="n"/>
      <c r="E188" s="16" t="n"/>
      <c r="F188" s="25" t="n"/>
      <c r="G188" s="26" t="n"/>
      <c r="H188" s="26" t="n"/>
      <c r="I188" s="26" t="n"/>
      <c r="J188" s="25" t="n"/>
      <c r="K188" s="25" t="n"/>
      <c r="L188" s="25" t="n"/>
      <c r="M188" s="25" t="n"/>
    </row>
    <row r="189">
      <c r="A189" s="26" t="n"/>
      <c r="B189" s="25" t="n"/>
      <c r="C189" s="25" t="n"/>
      <c r="D189" s="25" t="n"/>
      <c r="E189" s="16" t="n"/>
      <c r="F189" s="25" t="n"/>
      <c r="G189" s="26" t="n"/>
      <c r="H189" s="26" t="n"/>
      <c r="I189" s="26" t="n"/>
      <c r="J189" s="25" t="n"/>
      <c r="K189" s="25" t="n"/>
      <c r="L189" s="25" t="n"/>
      <c r="M189" s="25" t="n"/>
    </row>
    <row r="190">
      <c r="A190" s="26" t="n"/>
      <c r="B190" s="25" t="n"/>
      <c r="C190" s="25" t="n"/>
      <c r="D190" s="25" t="n"/>
      <c r="E190" s="16" t="n"/>
      <c r="F190" s="25" t="n"/>
      <c r="G190" s="26" t="n"/>
      <c r="H190" s="26" t="n"/>
      <c r="I190" s="26" t="n"/>
      <c r="J190" s="25" t="n"/>
      <c r="K190" s="25" t="n"/>
      <c r="L190" s="25" t="n"/>
      <c r="M190" s="25" t="n"/>
    </row>
    <row r="191">
      <c r="A191" s="26" t="n"/>
      <c r="B191" s="25" t="n"/>
      <c r="C191" s="25" t="n"/>
      <c r="D191" s="25" t="n"/>
      <c r="E191" s="16" t="n"/>
      <c r="F191" s="25" t="n"/>
      <c r="G191" s="26" t="n"/>
      <c r="H191" s="26" t="n"/>
      <c r="I191" s="26" t="n"/>
      <c r="J191" s="25" t="n"/>
      <c r="K191" s="25" t="n"/>
      <c r="L191" s="25" t="n"/>
      <c r="M191" s="25" t="n"/>
    </row>
    <row r="192">
      <c r="A192" s="26" t="n"/>
      <c r="B192" s="25" t="n"/>
      <c r="C192" s="25" t="n"/>
      <c r="D192" s="25" t="n"/>
      <c r="E192" s="16" t="n"/>
      <c r="F192" s="25" t="n"/>
      <c r="G192" s="26" t="n"/>
      <c r="H192" s="26" t="n"/>
      <c r="I192" s="26" t="n"/>
      <c r="J192" s="25" t="n"/>
      <c r="K192" s="25" t="n"/>
      <c r="L192" s="25" t="n"/>
      <c r="M192" s="25" t="n"/>
    </row>
    <row r="193">
      <c r="A193" s="26" t="n"/>
      <c r="B193" s="25" t="n"/>
      <c r="C193" s="25" t="n"/>
      <c r="D193" s="25" t="n"/>
      <c r="E193" s="16" t="n"/>
      <c r="F193" s="25" t="n"/>
      <c r="G193" s="26" t="n"/>
      <c r="H193" s="26" t="n"/>
      <c r="I193" s="26" t="n"/>
      <c r="J193" s="25" t="n"/>
      <c r="K193" s="25" t="n"/>
      <c r="L193" s="25" t="n"/>
      <c r="M193" s="25" t="n"/>
    </row>
    <row r="194">
      <c r="A194" s="26" t="n"/>
      <c r="B194" s="25" t="n"/>
      <c r="C194" s="25" t="n"/>
      <c r="D194" s="25" t="n"/>
      <c r="E194" s="16" t="n"/>
      <c r="F194" s="25" t="n"/>
      <c r="G194" s="26" t="n"/>
      <c r="H194" s="26" t="n"/>
      <c r="I194" s="26" t="n"/>
      <c r="J194" s="25" t="n"/>
      <c r="K194" s="25" t="n"/>
      <c r="L194" s="25" t="n"/>
      <c r="M194" s="25" t="n"/>
    </row>
    <row r="195">
      <c r="A195" s="26" t="n"/>
      <c r="B195" s="25" t="n"/>
      <c r="C195" s="25" t="n"/>
      <c r="D195" s="25" t="n"/>
      <c r="E195" s="16" t="n"/>
      <c r="F195" s="25" t="n"/>
      <c r="G195" s="26" t="n"/>
      <c r="H195" s="26" t="n"/>
      <c r="I195" s="26" t="n"/>
      <c r="J195" s="25" t="n"/>
      <c r="K195" s="25" t="n"/>
      <c r="L195" s="25" t="n"/>
      <c r="M195" s="25" t="n"/>
    </row>
    <row r="196">
      <c r="A196" s="26" t="n"/>
      <c r="B196" s="25" t="n"/>
      <c r="C196" s="25" t="n"/>
      <c r="D196" s="25" t="n"/>
      <c r="E196" s="16" t="n"/>
      <c r="F196" s="25" t="n"/>
      <c r="G196" s="26" t="n"/>
      <c r="H196" s="26" t="n"/>
      <c r="I196" s="26" t="n"/>
      <c r="J196" s="25" t="n"/>
      <c r="K196" s="25" t="n"/>
      <c r="L196" s="25" t="n"/>
      <c r="M196" s="25" t="n"/>
    </row>
    <row r="197">
      <c r="A197" s="26" t="n"/>
      <c r="B197" s="25" t="n"/>
      <c r="C197" s="25" t="n"/>
      <c r="D197" s="25" t="n"/>
      <c r="E197" s="16" t="n"/>
      <c r="F197" s="25" t="n"/>
      <c r="G197" s="26" t="n"/>
      <c r="H197" s="26" t="n"/>
      <c r="I197" s="26" t="n"/>
      <c r="J197" s="25" t="n"/>
      <c r="K197" s="25" t="n"/>
      <c r="L197" s="25" t="n"/>
      <c r="M197" s="25" t="n"/>
    </row>
    <row r="198">
      <c r="A198" s="26" t="n"/>
      <c r="B198" s="25" t="n"/>
      <c r="C198" s="25" t="n"/>
      <c r="D198" s="25" t="n"/>
      <c r="E198" s="16" t="n"/>
      <c r="F198" s="25" t="n"/>
      <c r="G198" s="26" t="n"/>
      <c r="H198" s="26" t="n"/>
      <c r="I198" s="26" t="n"/>
      <c r="J198" s="25" t="n"/>
      <c r="K198" s="25" t="n"/>
      <c r="L198" s="25" t="n"/>
      <c r="M198" s="25" t="n"/>
    </row>
    <row r="199">
      <c r="A199" s="26" t="n"/>
      <c r="B199" s="25" t="n"/>
      <c r="C199" s="25" t="n"/>
      <c r="D199" s="25" t="n"/>
      <c r="E199" s="16" t="n"/>
      <c r="F199" s="25" t="n"/>
      <c r="G199" s="26" t="n"/>
      <c r="H199" s="26" t="n"/>
      <c r="I199" s="26" t="n"/>
      <c r="J199" s="25" t="n"/>
      <c r="K199" s="25" t="n"/>
      <c r="L199" s="25" t="n"/>
      <c r="M199" s="25" t="n"/>
    </row>
    <row r="200">
      <c r="A200" s="26" t="n"/>
      <c r="B200" s="25" t="n"/>
      <c r="C200" s="25" t="n"/>
      <c r="D200" s="25" t="n"/>
      <c r="E200" s="16" t="n"/>
      <c r="F200" s="25" t="n"/>
      <c r="G200" s="26" t="n"/>
      <c r="H200" s="26" t="n"/>
      <c r="I200" s="26" t="n"/>
      <c r="J200" s="25" t="n"/>
      <c r="K200" s="25" t="n"/>
      <c r="L200" s="25" t="n"/>
      <c r="M200" s="25" t="n"/>
    </row>
    <row r="201">
      <c r="A201" s="26" t="n"/>
      <c r="B201" s="25" t="n"/>
      <c r="C201" s="25" t="n"/>
      <c r="D201" s="25" t="n"/>
      <c r="E201" s="16" t="n"/>
      <c r="F201" s="25" t="n"/>
      <c r="G201" s="26" t="n"/>
      <c r="H201" s="26" t="n"/>
      <c r="I201" s="26" t="n"/>
      <c r="J201" s="25" t="n"/>
      <c r="K201" s="25" t="n"/>
      <c r="L201" s="25" t="n"/>
      <c r="M201" s="25" t="n"/>
    </row>
    <row r="202">
      <c r="A202" s="26" t="n"/>
      <c r="B202" s="25" t="n"/>
      <c r="C202" s="25" t="n"/>
      <c r="D202" s="25" t="n"/>
      <c r="E202" s="16" t="n"/>
      <c r="F202" s="25" t="n"/>
      <c r="G202" s="26" t="n"/>
      <c r="H202" s="26" t="n"/>
      <c r="I202" s="26" t="n"/>
      <c r="J202" s="25" t="n"/>
      <c r="K202" s="25" t="n"/>
      <c r="L202" s="25" t="n"/>
      <c r="M202" s="25" t="n"/>
    </row>
    <row r="203">
      <c r="A203" s="26" t="n"/>
      <c r="B203" s="25" t="n"/>
      <c r="C203" s="25" t="n"/>
      <c r="D203" s="25" t="n"/>
      <c r="E203" s="16" t="n"/>
      <c r="F203" s="25" t="n"/>
      <c r="G203" s="26" t="n"/>
      <c r="H203" s="26" t="n"/>
      <c r="I203" s="26" t="n"/>
      <c r="J203" s="25" t="n"/>
      <c r="K203" s="25" t="n"/>
      <c r="L203" s="25" t="n"/>
      <c r="M203" s="25" t="n"/>
    </row>
    <row r="204">
      <c r="A204" s="26" t="n"/>
      <c r="B204" s="25" t="n"/>
      <c r="C204" s="25" t="n"/>
      <c r="D204" s="25" t="n"/>
      <c r="E204" s="16" t="n"/>
      <c r="F204" s="25" t="n"/>
      <c r="G204" s="26" t="n"/>
      <c r="H204" s="26" t="n"/>
      <c r="I204" s="26" t="n"/>
      <c r="J204" s="25" t="n"/>
      <c r="K204" s="25" t="n"/>
      <c r="L204" s="25" t="n"/>
      <c r="M204" s="25" t="n"/>
    </row>
    <row r="205">
      <c r="A205" s="26" t="n"/>
      <c r="B205" s="25" t="n"/>
      <c r="C205" s="25" t="n"/>
      <c r="D205" s="25" t="n"/>
      <c r="E205" s="16" t="n"/>
      <c r="F205" s="25" t="n"/>
      <c r="G205" s="26" t="n"/>
      <c r="H205" s="26" t="n"/>
      <c r="I205" s="26" t="n"/>
      <c r="J205" s="25" t="n"/>
      <c r="K205" s="25" t="n"/>
      <c r="L205" s="25" t="n"/>
      <c r="M205" s="25" t="n"/>
    </row>
    <row r="206">
      <c r="A206" s="26" t="n"/>
      <c r="B206" s="25" t="n"/>
      <c r="C206" s="25" t="n"/>
      <c r="D206" s="25" t="n"/>
      <c r="E206" s="16" t="n"/>
      <c r="F206" s="25" t="n"/>
      <c r="G206" s="26" t="n"/>
      <c r="H206" s="26" t="n"/>
      <c r="I206" s="26" t="n"/>
      <c r="J206" s="25" t="n"/>
      <c r="K206" s="25" t="n"/>
      <c r="L206" s="25" t="n"/>
      <c r="M206" s="25" t="n"/>
    </row>
    <row r="207">
      <c r="A207" s="26" t="n"/>
      <c r="B207" s="25" t="n"/>
      <c r="C207" s="25" t="n"/>
      <c r="D207" s="25" t="n"/>
      <c r="E207" s="16" t="n"/>
      <c r="F207" s="25" t="n"/>
      <c r="G207" s="26" t="n"/>
      <c r="H207" s="26" t="n"/>
      <c r="I207" s="26" t="n"/>
      <c r="J207" s="25" t="n"/>
      <c r="K207" s="25" t="n"/>
      <c r="L207" s="25" t="n"/>
      <c r="M207" s="25" t="n"/>
    </row>
    <row r="208">
      <c r="A208" s="26" t="n"/>
      <c r="B208" s="25" t="n"/>
      <c r="C208" s="25" t="n"/>
      <c r="D208" s="25" t="n"/>
      <c r="E208" s="16" t="n"/>
      <c r="F208" s="25" t="n"/>
      <c r="G208" s="26" t="n"/>
      <c r="H208" s="26" t="n"/>
      <c r="I208" s="26" t="n"/>
      <c r="J208" s="25" t="n"/>
      <c r="K208" s="25" t="n"/>
      <c r="L208" s="25" t="n"/>
      <c r="M208" s="25" t="n"/>
    </row>
    <row r="209">
      <c r="A209" s="26" t="n"/>
      <c r="B209" s="25" t="n"/>
      <c r="C209" s="25" t="n"/>
      <c r="D209" s="25" t="n"/>
      <c r="E209" s="16" t="n"/>
      <c r="F209" s="25" t="n"/>
      <c r="G209" s="26" t="n"/>
      <c r="H209" s="26" t="n"/>
      <c r="I209" s="26" t="n"/>
      <c r="J209" s="25" t="n"/>
      <c r="K209" s="25" t="n"/>
      <c r="L209" s="25" t="n"/>
      <c r="M209" s="25" t="n"/>
    </row>
    <row r="210">
      <c r="A210" s="26" t="n"/>
      <c r="B210" s="25" t="n"/>
      <c r="C210" s="25" t="n"/>
      <c r="D210" s="25" t="n"/>
      <c r="E210" s="16" t="n"/>
      <c r="F210" s="25" t="n"/>
      <c r="G210" s="26" t="n"/>
      <c r="H210" s="26" t="n"/>
      <c r="I210" s="26" t="n"/>
      <c r="J210" s="25" t="n"/>
      <c r="K210" s="25" t="n"/>
      <c r="L210" s="25" t="n"/>
      <c r="M210" s="25" t="n"/>
    </row>
    <row r="211">
      <c r="A211" s="26" t="n"/>
      <c r="B211" s="25" t="n"/>
      <c r="C211" s="25" t="n"/>
      <c r="D211" s="25" t="n"/>
      <c r="E211" s="16" t="n"/>
      <c r="F211" s="25" t="n"/>
      <c r="G211" s="26" t="n"/>
      <c r="H211" s="26" t="n"/>
      <c r="I211" s="26" t="n"/>
      <c r="J211" s="25" t="n"/>
      <c r="K211" s="25" t="n"/>
      <c r="L211" s="25" t="n"/>
      <c r="M211" s="25" t="n"/>
    </row>
    <row r="212">
      <c r="A212" s="26" t="n"/>
      <c r="B212" s="25" t="n"/>
      <c r="C212" s="25" t="n"/>
      <c r="D212" s="25" t="n"/>
      <c r="E212" s="16" t="n"/>
      <c r="F212" s="25" t="n"/>
      <c r="G212" s="26" t="n"/>
      <c r="H212" s="26" t="n"/>
      <c r="I212" s="26" t="n"/>
      <c r="J212" s="25" t="n"/>
      <c r="K212" s="25" t="n"/>
      <c r="L212" s="25" t="n"/>
      <c r="M212" s="25" t="n"/>
    </row>
    <row r="213">
      <c r="A213" s="26" t="n"/>
      <c r="B213" s="25" t="n"/>
      <c r="C213" s="25" t="n"/>
      <c r="D213" s="25" t="n"/>
      <c r="E213" s="16" t="n"/>
      <c r="F213" s="25" t="n"/>
      <c r="G213" s="26" t="n"/>
      <c r="H213" s="26" t="n"/>
      <c r="I213" s="26" t="n"/>
      <c r="J213" s="25" t="n"/>
      <c r="K213" s="25" t="n"/>
      <c r="L213" s="25" t="n"/>
      <c r="M213" s="25" t="n"/>
    </row>
    <row r="214">
      <c r="A214" s="26" t="n"/>
      <c r="B214" s="25" t="n"/>
      <c r="C214" s="25" t="n"/>
      <c r="D214" s="25" t="n"/>
      <c r="E214" s="16" t="n"/>
      <c r="F214" s="25" t="n"/>
      <c r="G214" s="26" t="n"/>
      <c r="H214" s="26" t="n"/>
      <c r="I214" s="26" t="n"/>
      <c r="J214" s="25" t="n"/>
      <c r="K214" s="25" t="n"/>
      <c r="L214" s="25" t="n"/>
      <c r="M214" s="25" t="n"/>
    </row>
    <row r="215">
      <c r="A215" s="26" t="n"/>
      <c r="B215" s="25" t="n"/>
      <c r="C215" s="25" t="n"/>
      <c r="D215" s="25" t="n"/>
      <c r="E215" s="16" t="n"/>
      <c r="F215" s="25" t="n"/>
      <c r="G215" s="26" t="n"/>
      <c r="H215" s="26" t="n"/>
      <c r="I215" s="26" t="n"/>
      <c r="J215" s="25" t="n"/>
      <c r="K215" s="25" t="n"/>
      <c r="L215" s="25" t="n"/>
      <c r="M215" s="25" t="n"/>
    </row>
    <row r="216">
      <c r="A216" s="26" t="n"/>
      <c r="B216" s="25" t="n"/>
      <c r="C216" s="25" t="n"/>
      <c r="D216" s="25" t="n"/>
      <c r="E216" s="16" t="n"/>
      <c r="F216" s="25" t="n"/>
      <c r="G216" s="26" t="n"/>
      <c r="H216" s="26" t="n"/>
      <c r="I216" s="26" t="n"/>
      <c r="J216" s="25" t="n"/>
      <c r="K216" s="25" t="n"/>
      <c r="L216" s="25" t="n"/>
      <c r="M216" s="25" t="n"/>
    </row>
    <row r="217">
      <c r="A217" s="26" t="n"/>
      <c r="B217" s="25" t="n"/>
      <c r="C217" s="25" t="n"/>
      <c r="D217" s="25" t="n"/>
      <c r="E217" s="16" t="n"/>
      <c r="F217" s="25" t="n"/>
      <c r="G217" s="26" t="n"/>
      <c r="H217" s="26" t="n"/>
      <c r="I217" s="26" t="n"/>
      <c r="J217" s="25" t="n"/>
      <c r="K217" s="25" t="n"/>
      <c r="L217" s="25" t="n"/>
      <c r="M217" s="25" t="n"/>
    </row>
    <row r="218">
      <c r="A218" s="26" t="n"/>
      <c r="B218" s="25" t="n"/>
      <c r="C218" s="25" t="n"/>
      <c r="D218" s="25" t="n"/>
      <c r="E218" s="16" t="n"/>
      <c r="F218" s="25" t="n"/>
      <c r="G218" s="26" t="n"/>
      <c r="H218" s="26" t="n"/>
      <c r="I218" s="26" t="n"/>
      <c r="J218" s="25" t="n"/>
      <c r="K218" s="25" t="n"/>
      <c r="L218" s="25" t="n"/>
      <c r="M218" s="25" t="n"/>
    </row>
    <row r="219">
      <c r="A219" s="26" t="n"/>
      <c r="B219" s="25" t="n"/>
      <c r="C219" s="25" t="n"/>
      <c r="D219" s="25" t="n"/>
      <c r="E219" s="16" t="n"/>
      <c r="F219" s="25" t="n"/>
      <c r="G219" s="26" t="n"/>
      <c r="H219" s="26" t="n"/>
      <c r="I219" s="26" t="n"/>
      <c r="J219" s="25" t="n"/>
      <c r="K219" s="25" t="n"/>
      <c r="L219" s="25" t="n"/>
      <c r="M219" s="25" t="n"/>
    </row>
    <row r="220">
      <c r="A220" s="26" t="n"/>
      <c r="B220" s="25" t="n"/>
      <c r="C220" s="25" t="n"/>
      <c r="D220" s="25" t="n"/>
      <c r="E220" s="16" t="n"/>
      <c r="F220" s="25" t="n"/>
      <c r="G220" s="26" t="n"/>
      <c r="H220" s="26" t="n"/>
      <c r="I220" s="26" t="n"/>
      <c r="J220" s="25" t="n"/>
      <c r="K220" s="25" t="n"/>
      <c r="L220" s="25" t="n"/>
      <c r="M220" s="25" t="n"/>
    </row>
    <row r="221">
      <c r="A221" s="26" t="n"/>
      <c r="B221" s="25" t="n"/>
      <c r="C221" s="25" t="n"/>
      <c r="D221" s="25" t="n"/>
      <c r="E221" s="16" t="n"/>
      <c r="F221" s="25" t="n"/>
      <c r="G221" s="26" t="n"/>
      <c r="H221" s="26" t="n"/>
      <c r="I221" s="26" t="n"/>
      <c r="J221" s="25" t="n"/>
      <c r="K221" s="25" t="n"/>
      <c r="L221" s="25" t="n"/>
      <c r="M221" s="25" t="n"/>
    </row>
    <row r="222">
      <c r="A222" s="26" t="n"/>
      <c r="B222" s="25" t="n"/>
      <c r="C222" s="25" t="n"/>
      <c r="D222" s="25" t="n"/>
      <c r="E222" s="16" t="n"/>
      <c r="F222" s="25" t="n"/>
      <c r="G222" s="26" t="n"/>
      <c r="H222" s="26" t="n"/>
      <c r="I222" s="26" t="n"/>
      <c r="J222" s="25" t="n"/>
      <c r="K222" s="25" t="n"/>
      <c r="L222" s="25" t="n"/>
      <c r="M222" s="25" t="n"/>
    </row>
    <row r="223">
      <c r="A223" s="26" t="n"/>
      <c r="B223" s="25" t="n"/>
      <c r="C223" s="25" t="n"/>
      <c r="D223" s="25" t="n"/>
      <c r="E223" s="16" t="n"/>
      <c r="F223" s="25" t="n"/>
      <c r="G223" s="26" t="n"/>
      <c r="H223" s="26" t="n"/>
      <c r="I223" s="26" t="n"/>
      <c r="J223" s="25" t="n"/>
      <c r="K223" s="25" t="n"/>
      <c r="L223" s="25" t="n"/>
      <c r="M223" s="25" t="n"/>
    </row>
    <row r="224">
      <c r="A224" s="26" t="n"/>
      <c r="B224" s="25" t="n"/>
      <c r="C224" s="25" t="n"/>
      <c r="D224" s="25" t="n"/>
      <c r="E224" s="16" t="n"/>
      <c r="F224" s="25" t="n"/>
      <c r="G224" s="26" t="n"/>
      <c r="H224" s="26" t="n"/>
      <c r="I224" s="26" t="n"/>
      <c r="J224" s="25" t="n"/>
      <c r="K224" s="25" t="n"/>
      <c r="L224" s="25" t="n"/>
      <c r="M224" s="25" t="n"/>
    </row>
    <row r="225">
      <c r="A225" s="26" t="n"/>
      <c r="B225" s="25" t="n"/>
      <c r="C225" s="25" t="n"/>
      <c r="D225" s="25" t="n"/>
      <c r="E225" s="16" t="n"/>
      <c r="F225" s="25" t="n"/>
      <c r="G225" s="26" t="n"/>
      <c r="H225" s="26" t="n"/>
      <c r="I225" s="26" t="n"/>
      <c r="J225" s="25" t="n"/>
      <c r="K225" s="25" t="n"/>
      <c r="L225" s="25" t="n"/>
      <c r="M225" s="25" t="n"/>
    </row>
    <row r="226">
      <c r="A226" s="26" t="n"/>
      <c r="B226" s="25" t="n"/>
      <c r="C226" s="25" t="n"/>
      <c r="D226" s="25" t="n"/>
      <c r="E226" s="16" t="n"/>
      <c r="F226" s="25" t="n"/>
      <c r="G226" s="26" t="n"/>
      <c r="H226" s="26" t="n"/>
      <c r="I226" s="26" t="n"/>
      <c r="J226" s="25" t="n"/>
      <c r="K226" s="25" t="n"/>
      <c r="L226" s="25" t="n"/>
      <c r="M226" s="25" t="n"/>
    </row>
    <row r="227">
      <c r="A227" s="26" t="n"/>
      <c r="B227" s="25" t="n"/>
      <c r="C227" s="25" t="n"/>
      <c r="D227" s="25" t="n"/>
      <c r="E227" s="16" t="n"/>
      <c r="F227" s="25" t="n"/>
      <c r="G227" s="26" t="n"/>
      <c r="H227" s="26" t="n"/>
      <c r="I227" s="26" t="n"/>
      <c r="J227" s="25" t="n"/>
      <c r="K227" s="25" t="n"/>
      <c r="L227" s="25" t="n"/>
      <c r="M227" s="25" t="n"/>
    </row>
    <row r="228">
      <c r="A228" s="26" t="n"/>
      <c r="B228" s="25" t="n"/>
      <c r="C228" s="25" t="n"/>
      <c r="D228" s="25" t="n"/>
      <c r="E228" s="16" t="n"/>
      <c r="F228" s="25" t="n"/>
      <c r="G228" s="26" t="n"/>
      <c r="H228" s="26" t="n"/>
      <c r="I228" s="26" t="n"/>
      <c r="J228" s="25" t="n"/>
      <c r="K228" s="25" t="n"/>
      <c r="L228" s="25" t="n"/>
      <c r="M228" s="25" t="n"/>
    </row>
    <row r="229">
      <c r="A229" s="26" t="n"/>
      <c r="B229" s="25" t="n"/>
      <c r="C229" s="25" t="n"/>
      <c r="D229" s="25" t="n"/>
      <c r="E229" s="16" t="n"/>
      <c r="F229" s="25" t="n"/>
      <c r="G229" s="26" t="n"/>
      <c r="H229" s="26" t="n"/>
      <c r="I229" s="26" t="n"/>
      <c r="J229" s="25" t="n"/>
      <c r="K229" s="25" t="n"/>
      <c r="L229" s="25" t="n"/>
      <c r="M229" s="25" t="n"/>
    </row>
    <row r="230">
      <c r="A230" s="26" t="n"/>
      <c r="B230" s="25" t="n"/>
      <c r="C230" s="25" t="n"/>
      <c r="D230" s="25" t="n"/>
      <c r="E230" s="16" t="n"/>
      <c r="F230" s="25" t="n"/>
      <c r="G230" s="26" t="n"/>
      <c r="H230" s="26" t="n"/>
      <c r="I230" s="26" t="n"/>
      <c r="J230" s="25" t="n"/>
      <c r="K230" s="25" t="n"/>
      <c r="L230" s="25" t="n"/>
      <c r="M230" s="25" t="n"/>
    </row>
    <row r="231">
      <c r="A231" s="26" t="n"/>
      <c r="B231" s="25" t="n"/>
      <c r="C231" s="25" t="n"/>
      <c r="D231" s="25" t="n"/>
      <c r="E231" s="16" t="n"/>
      <c r="F231" s="25" t="n"/>
      <c r="G231" s="26" t="n"/>
      <c r="H231" s="26" t="n"/>
      <c r="I231" s="26" t="n"/>
      <c r="J231" s="25" t="n"/>
      <c r="K231" s="25" t="n"/>
      <c r="L231" s="25" t="n"/>
      <c r="M231" s="25" t="n"/>
    </row>
    <row r="232">
      <c r="A232" s="26" t="n"/>
      <c r="B232" s="25" t="n"/>
      <c r="C232" s="25" t="n"/>
      <c r="D232" s="25" t="n"/>
      <c r="E232" s="16" t="n"/>
      <c r="F232" s="25" t="n"/>
      <c r="G232" s="26" t="n"/>
      <c r="H232" s="26" t="n"/>
      <c r="I232" s="26" t="n"/>
      <c r="J232" s="25" t="n"/>
      <c r="K232" s="25" t="n"/>
      <c r="L232" s="25" t="n"/>
      <c r="M232" s="25" t="n"/>
    </row>
    <row r="233">
      <c r="A233" s="26" t="n"/>
      <c r="B233" s="25" t="n"/>
      <c r="C233" s="25" t="n"/>
      <c r="D233" s="25" t="n"/>
      <c r="E233" s="16" t="n"/>
      <c r="F233" s="25" t="n"/>
      <c r="G233" s="26" t="n"/>
      <c r="H233" s="26" t="n"/>
      <c r="I233" s="26" t="n"/>
      <c r="J233" s="25" t="n"/>
      <c r="K233" s="25" t="n"/>
      <c r="L233" s="25" t="n"/>
      <c r="M233" s="25" t="n"/>
    </row>
    <row r="234">
      <c r="A234" s="26" t="n"/>
      <c r="B234" s="25" t="n"/>
      <c r="C234" s="25" t="n"/>
      <c r="D234" s="25" t="n"/>
      <c r="E234" s="16" t="n"/>
      <c r="F234" s="25" t="n"/>
      <c r="G234" s="26" t="n"/>
      <c r="H234" s="26" t="n"/>
      <c r="I234" s="26" t="n"/>
      <c r="J234" s="25" t="n"/>
      <c r="K234" s="25" t="n"/>
      <c r="L234" s="25" t="n"/>
      <c r="M234" s="25" t="n"/>
    </row>
    <row r="235">
      <c r="A235" s="26" t="n"/>
      <c r="B235" s="25" t="n"/>
      <c r="C235" s="25" t="n"/>
      <c r="D235" s="25" t="n"/>
      <c r="E235" s="16" t="n"/>
      <c r="F235" s="25" t="n"/>
      <c r="G235" s="26" t="n"/>
      <c r="H235" s="26" t="n"/>
      <c r="I235" s="26" t="n"/>
      <c r="J235" s="25" t="n"/>
      <c r="K235" s="25" t="n"/>
      <c r="L235" s="25" t="n"/>
      <c r="M235" s="25" t="n"/>
    </row>
    <row r="236">
      <c r="A236" s="26" t="n"/>
      <c r="B236" s="25" t="n"/>
      <c r="C236" s="25" t="n"/>
      <c r="D236" s="25" t="n"/>
      <c r="E236" s="16" t="n"/>
      <c r="F236" s="25" t="n"/>
      <c r="G236" s="26" t="n"/>
      <c r="H236" s="26" t="n"/>
      <c r="I236" s="26" t="n"/>
      <c r="J236" s="25" t="n"/>
      <c r="K236" s="25" t="n"/>
      <c r="L236" s="25" t="n"/>
      <c r="M236" s="25" t="n"/>
    </row>
    <row r="237">
      <c r="A237" s="26" t="n"/>
      <c r="B237" s="25" t="n"/>
      <c r="C237" s="25" t="n"/>
      <c r="D237" s="25" t="n"/>
      <c r="E237" s="16" t="n"/>
      <c r="F237" s="25" t="n"/>
      <c r="G237" s="26" t="n"/>
      <c r="H237" s="26" t="n"/>
      <c r="I237" s="26" t="n"/>
      <c r="J237" s="25" t="n"/>
      <c r="K237" s="25" t="n"/>
      <c r="L237" s="25" t="n"/>
      <c r="M237" s="25" t="n"/>
    </row>
    <row r="238">
      <c r="A238" s="26" t="n"/>
      <c r="B238" s="25" t="n"/>
      <c r="C238" s="25" t="n"/>
      <c r="D238" s="25" t="n"/>
      <c r="E238" s="16" t="n"/>
      <c r="F238" s="25" t="n"/>
      <c r="G238" s="26" t="n"/>
      <c r="H238" s="26" t="n"/>
      <c r="I238" s="26" t="n"/>
      <c r="J238" s="25" t="n"/>
      <c r="K238" s="25" t="n"/>
      <c r="L238" s="25" t="n"/>
      <c r="M238" s="25" t="n"/>
    </row>
    <row r="239">
      <c r="A239" s="26" t="n"/>
      <c r="B239" s="25" t="n"/>
      <c r="C239" s="25" t="n"/>
      <c r="D239" s="25" t="n"/>
      <c r="E239" s="16" t="n"/>
      <c r="F239" s="25" t="n"/>
      <c r="G239" s="26" t="n"/>
      <c r="H239" s="26" t="n"/>
      <c r="I239" s="26" t="n"/>
      <c r="J239" s="25" t="n"/>
      <c r="K239" s="25" t="n"/>
      <c r="L239" s="25" t="n"/>
      <c r="M239" s="25" t="n"/>
    </row>
    <row r="240">
      <c r="A240" s="26" t="n"/>
      <c r="B240" s="25" t="n"/>
      <c r="C240" s="25" t="n"/>
      <c r="D240" s="25" t="n"/>
      <c r="E240" s="16" t="n"/>
      <c r="F240" s="25" t="n"/>
      <c r="G240" s="26" t="n"/>
      <c r="H240" s="26" t="n"/>
      <c r="I240" s="26" t="n"/>
      <c r="J240" s="25" t="n"/>
      <c r="K240" s="25" t="n"/>
      <c r="L240" s="25" t="n"/>
      <c r="M240" s="25" t="n"/>
    </row>
    <row r="241">
      <c r="A241" s="26" t="n"/>
      <c r="B241" s="25" t="n"/>
      <c r="C241" s="25" t="n"/>
      <c r="D241" s="25" t="n"/>
      <c r="E241" s="16" t="n"/>
      <c r="F241" s="25" t="n"/>
      <c r="G241" s="26" t="n"/>
      <c r="H241" s="26" t="n"/>
      <c r="I241" s="26" t="n"/>
      <c r="J241" s="25" t="n"/>
      <c r="K241" s="25" t="n"/>
      <c r="L241" s="25" t="n"/>
      <c r="M241" s="25" t="n"/>
    </row>
    <row r="242">
      <c r="A242" s="26" t="n"/>
      <c r="B242" s="25" t="n"/>
      <c r="C242" s="25" t="n"/>
      <c r="D242" s="25" t="n"/>
      <c r="E242" s="16" t="n"/>
      <c r="F242" s="25" t="n"/>
      <c r="G242" s="26" t="n"/>
      <c r="H242" s="26" t="n"/>
      <c r="I242" s="26" t="n"/>
      <c r="J242" s="25" t="n"/>
      <c r="K242" s="25" t="n"/>
      <c r="L242" s="25" t="n"/>
      <c r="M242" s="25" t="n"/>
    </row>
    <row r="243">
      <c r="A243" s="26" t="n"/>
      <c r="B243" s="25" t="n"/>
      <c r="C243" s="25" t="n"/>
      <c r="D243" s="25" t="n"/>
      <c r="E243" s="16" t="n"/>
      <c r="F243" s="25" t="n"/>
      <c r="G243" s="26" t="n"/>
      <c r="H243" s="26" t="n"/>
      <c r="I243" s="26" t="n"/>
      <c r="J243" s="25" t="n"/>
      <c r="K243" s="25" t="n"/>
      <c r="L243" s="25" t="n"/>
      <c r="M243" s="25" t="n"/>
    </row>
    <row r="244">
      <c r="A244" s="26" t="n"/>
      <c r="B244" s="25" t="n"/>
      <c r="C244" s="25" t="n"/>
      <c r="D244" s="25" t="n"/>
      <c r="E244" s="16" t="n"/>
      <c r="F244" s="25" t="n"/>
      <c r="G244" s="26" t="n"/>
      <c r="H244" s="26" t="n"/>
      <c r="I244" s="26" t="n"/>
      <c r="J244" s="25" t="n"/>
      <c r="K244" s="25" t="n"/>
      <c r="L244" s="25" t="n"/>
      <c r="M244" s="25" t="n"/>
    </row>
    <row r="245">
      <c r="A245" s="26" t="n"/>
      <c r="B245" s="25" t="n"/>
      <c r="C245" s="25" t="n"/>
      <c r="D245" s="25" t="n"/>
      <c r="E245" s="16" t="n"/>
      <c r="F245" s="25" t="n"/>
      <c r="G245" s="26" t="n"/>
      <c r="H245" s="26" t="n"/>
      <c r="I245" s="26" t="n"/>
      <c r="J245" s="25" t="n"/>
      <c r="K245" s="25" t="n"/>
      <c r="L245" s="25" t="n"/>
      <c r="M245" s="25" t="n"/>
    </row>
    <row r="246">
      <c r="A246" s="26" t="n"/>
      <c r="B246" s="25" t="n"/>
      <c r="C246" s="25" t="n"/>
      <c r="D246" s="25" t="n"/>
      <c r="E246" s="16" t="n"/>
      <c r="F246" s="25" t="n"/>
      <c r="G246" s="26" t="n"/>
      <c r="H246" s="26" t="n"/>
      <c r="I246" s="26" t="n"/>
      <c r="J246" s="25" t="n"/>
      <c r="K246" s="25" t="n"/>
      <c r="L246" s="25" t="n"/>
      <c r="M246" s="25" t="n"/>
    </row>
    <row r="247">
      <c r="A247" s="26" t="n"/>
      <c r="B247" s="25" t="n"/>
      <c r="C247" s="25" t="n"/>
      <c r="D247" s="25" t="n"/>
      <c r="E247" s="16" t="n"/>
      <c r="F247" s="25" t="n"/>
      <c r="G247" s="26" t="n"/>
      <c r="H247" s="26" t="n"/>
      <c r="I247" s="26" t="n"/>
      <c r="J247" s="25" t="n"/>
      <c r="K247" s="25" t="n"/>
      <c r="L247" s="25" t="n"/>
      <c r="M247" s="25" t="n"/>
    </row>
    <row r="248">
      <c r="A248" s="26" t="n"/>
      <c r="B248" s="25" t="n"/>
      <c r="C248" s="25" t="n"/>
      <c r="D248" s="25" t="n"/>
      <c r="E248" s="16" t="n"/>
      <c r="F248" s="25" t="n"/>
      <c r="G248" s="26" t="n"/>
      <c r="H248" s="26" t="n"/>
      <c r="I248" s="26" t="n"/>
      <c r="J248" s="25" t="n"/>
      <c r="K248" s="25" t="n"/>
      <c r="L248" s="25" t="n"/>
      <c r="M248" s="25" t="n"/>
    </row>
    <row r="249">
      <c r="A249" s="26" t="n"/>
      <c r="B249" s="25" t="n"/>
      <c r="C249" s="25" t="n"/>
      <c r="D249" s="25" t="n"/>
      <c r="E249" s="16" t="n"/>
      <c r="F249" s="25" t="n"/>
      <c r="G249" s="26" t="n"/>
      <c r="H249" s="26" t="n"/>
      <c r="I249" s="26" t="n"/>
      <c r="J249" s="25" t="n"/>
      <c r="K249" s="25" t="n"/>
      <c r="L249" s="25" t="n"/>
      <c r="M249" s="25" t="n"/>
    </row>
    <row r="250">
      <c r="A250" s="26" t="n"/>
      <c r="B250" s="25" t="n"/>
      <c r="C250" s="25" t="n"/>
      <c r="D250" s="25" t="n"/>
      <c r="E250" s="16" t="n"/>
      <c r="F250" s="25" t="n"/>
      <c r="G250" s="26" t="n"/>
      <c r="H250" s="26" t="n"/>
      <c r="I250" s="26" t="n"/>
      <c r="J250" s="25" t="n"/>
      <c r="K250" s="25" t="n"/>
      <c r="L250" s="25" t="n"/>
      <c r="M250" s="25" t="n"/>
    </row>
    <row r="251">
      <c r="A251" s="26" t="n"/>
      <c r="B251" s="25" t="n"/>
      <c r="C251" s="25" t="n"/>
      <c r="D251" s="25" t="n"/>
      <c r="E251" s="16" t="n"/>
      <c r="F251" s="25" t="n"/>
      <c r="G251" s="26" t="n"/>
      <c r="H251" s="26" t="n"/>
      <c r="I251" s="26" t="n"/>
      <c r="J251" s="25" t="n"/>
      <c r="K251" s="25" t="n"/>
      <c r="L251" s="25" t="n"/>
      <c r="M251" s="25" t="n"/>
    </row>
    <row r="252">
      <c r="A252" s="26" t="n"/>
      <c r="B252" s="25" t="n"/>
      <c r="C252" s="25" t="n"/>
      <c r="D252" s="25" t="n"/>
      <c r="E252" s="16" t="n"/>
      <c r="F252" s="25" t="n"/>
      <c r="G252" s="26" t="n"/>
      <c r="H252" s="26" t="n"/>
      <c r="I252" s="26" t="n"/>
      <c r="J252" s="25" t="n"/>
      <c r="K252" s="25" t="n"/>
      <c r="L252" s="25" t="n"/>
      <c r="M252" s="25" t="n"/>
    </row>
    <row r="253">
      <c r="A253" s="26" t="n"/>
      <c r="B253" s="25" t="n"/>
      <c r="C253" s="25" t="n"/>
      <c r="D253" s="25" t="n"/>
      <c r="E253" s="16" t="n"/>
      <c r="F253" s="25" t="n"/>
      <c r="G253" s="26" t="n"/>
      <c r="H253" s="26" t="n"/>
      <c r="I253" s="26" t="n"/>
      <c r="J253" s="25" t="n"/>
      <c r="K253" s="25" t="n"/>
      <c r="L253" s="25" t="n"/>
      <c r="M253" s="25" t="n"/>
    </row>
    <row r="254">
      <c r="A254" s="26" t="n"/>
      <c r="B254" s="25" t="n"/>
      <c r="C254" s="25" t="n"/>
      <c r="D254" s="25" t="n"/>
      <c r="E254" s="16" t="n"/>
      <c r="F254" s="25" t="n"/>
      <c r="G254" s="26" t="n"/>
      <c r="H254" s="26" t="n"/>
      <c r="I254" s="26" t="n"/>
      <c r="J254" s="25" t="n"/>
      <c r="K254" s="25" t="n"/>
      <c r="L254" s="25" t="n"/>
      <c r="M254" s="25" t="n"/>
    </row>
    <row r="255">
      <c r="A255" s="26" t="n"/>
      <c r="B255" s="25" t="n"/>
      <c r="C255" s="25" t="n"/>
      <c r="D255" s="25" t="n"/>
      <c r="E255" s="16" t="n"/>
      <c r="F255" s="25" t="n"/>
      <c r="G255" s="26" t="n"/>
      <c r="H255" s="26" t="n"/>
      <c r="I255" s="26" t="n"/>
      <c r="J255" s="25" t="n"/>
      <c r="K255" s="25" t="n"/>
      <c r="L255" s="25" t="n"/>
      <c r="M255" s="25" t="n"/>
    </row>
    <row r="256">
      <c r="A256" s="26" t="n"/>
      <c r="B256" s="25" t="n"/>
      <c r="C256" s="25" t="n"/>
      <c r="D256" s="25" t="n"/>
      <c r="E256" s="16" t="n"/>
      <c r="F256" s="25" t="n"/>
      <c r="G256" s="26" t="n"/>
      <c r="H256" s="26" t="n"/>
      <c r="I256" s="26" t="n"/>
      <c r="J256" s="25" t="n"/>
      <c r="K256" s="25" t="n"/>
      <c r="L256" s="25" t="n"/>
      <c r="M256" s="25" t="n"/>
    </row>
    <row r="257">
      <c r="A257" s="26" t="n"/>
      <c r="B257" s="25" t="n"/>
      <c r="C257" s="25" t="n"/>
      <c r="D257" s="25" t="n"/>
      <c r="E257" s="16" t="n"/>
      <c r="F257" s="25" t="n"/>
      <c r="G257" s="26" t="n"/>
      <c r="H257" s="26" t="n"/>
      <c r="I257" s="26" t="n"/>
      <c r="J257" s="25" t="n"/>
      <c r="K257" s="25" t="n"/>
      <c r="L257" s="25" t="n"/>
      <c r="M257" s="25" t="n"/>
    </row>
    <row r="258">
      <c r="A258" s="26" t="n"/>
      <c r="B258" s="25" t="n"/>
      <c r="C258" s="25" t="n"/>
      <c r="D258" s="25" t="n"/>
      <c r="E258" s="16" t="n"/>
      <c r="F258" s="25" t="n"/>
      <c r="G258" s="26" t="n"/>
      <c r="H258" s="26" t="n"/>
      <c r="I258" s="26" t="n"/>
      <c r="J258" s="25" t="n"/>
      <c r="K258" s="25" t="n"/>
      <c r="L258" s="25" t="n"/>
      <c r="M258" s="25" t="n"/>
    </row>
    <row r="259">
      <c r="A259" s="26" t="n"/>
      <c r="B259" s="25" t="n"/>
      <c r="C259" s="25" t="n"/>
      <c r="D259" s="25" t="n"/>
      <c r="E259" s="16" t="n"/>
      <c r="F259" s="25" t="n"/>
      <c r="G259" s="26" t="n"/>
      <c r="H259" s="26" t="n"/>
      <c r="I259" s="26" t="n"/>
      <c r="J259" s="25" t="n"/>
      <c r="K259" s="25" t="n"/>
      <c r="L259" s="25" t="n"/>
      <c r="M259" s="25" t="n"/>
    </row>
    <row r="260">
      <c r="A260" s="26" t="n"/>
      <c r="B260" s="25" t="n"/>
      <c r="C260" s="25" t="n"/>
      <c r="D260" s="25" t="n"/>
      <c r="E260" s="16" t="n"/>
      <c r="F260" s="25" t="n"/>
      <c r="G260" s="26" t="n"/>
      <c r="H260" s="26" t="n"/>
      <c r="I260" s="26" t="n"/>
      <c r="J260" s="25" t="n"/>
      <c r="K260" s="25" t="n"/>
      <c r="L260" s="25" t="n"/>
      <c r="M260" s="25" t="n"/>
    </row>
    <row r="261">
      <c r="A261" s="26" t="n"/>
      <c r="B261" s="25" t="n"/>
      <c r="C261" s="25" t="n"/>
      <c r="D261" s="25" t="n"/>
      <c r="E261" s="16" t="n"/>
      <c r="F261" s="25" t="n"/>
      <c r="G261" s="26" t="n"/>
      <c r="H261" s="26" t="n"/>
      <c r="I261" s="26" t="n"/>
      <c r="J261" s="25" t="n"/>
      <c r="K261" s="25" t="n"/>
      <c r="L261" s="25" t="n"/>
      <c r="M261" s="25" t="n"/>
    </row>
    <row r="262">
      <c r="A262" s="26" t="n"/>
      <c r="B262" s="25" t="n"/>
      <c r="C262" s="25" t="n"/>
      <c r="D262" s="25" t="n"/>
      <c r="E262" s="16" t="n"/>
      <c r="F262" s="25" t="n"/>
      <c r="G262" s="26" t="n"/>
      <c r="H262" s="26" t="n"/>
      <c r="I262" s="26" t="n"/>
      <c r="J262" s="25" t="n"/>
      <c r="K262" s="25" t="n"/>
      <c r="L262" s="25" t="n"/>
      <c r="M262" s="25" t="n"/>
    </row>
    <row r="263">
      <c r="A263" s="26" t="n"/>
      <c r="B263" s="25" t="n"/>
      <c r="C263" s="25" t="n"/>
      <c r="D263" s="25" t="n"/>
      <c r="E263" s="16" t="n"/>
      <c r="F263" s="25" t="n"/>
      <c r="G263" s="26" t="n"/>
      <c r="H263" s="26" t="n"/>
      <c r="I263" s="26" t="n"/>
      <c r="J263" s="25" t="n"/>
      <c r="K263" s="25" t="n"/>
      <c r="L263" s="25" t="n"/>
      <c r="M263" s="25" t="n"/>
    </row>
    <row r="264">
      <c r="A264" s="26" t="n"/>
      <c r="B264" s="25" t="n"/>
      <c r="C264" s="25" t="n"/>
      <c r="D264" s="25" t="n"/>
      <c r="E264" s="16" t="n"/>
      <c r="F264" s="25" t="n"/>
      <c r="G264" s="26" t="n"/>
      <c r="H264" s="26" t="n"/>
      <c r="I264" s="26" t="n"/>
      <c r="J264" s="25" t="n"/>
      <c r="K264" s="25" t="n"/>
      <c r="L264" s="25" t="n"/>
      <c r="M264" s="25" t="n"/>
    </row>
    <row r="265">
      <c r="A265" s="26" t="n"/>
      <c r="B265" s="25" t="n"/>
      <c r="C265" s="25" t="n"/>
      <c r="D265" s="25" t="n"/>
      <c r="E265" s="16" t="n"/>
      <c r="F265" s="25" t="n"/>
      <c r="G265" s="26" t="n"/>
      <c r="H265" s="26" t="n"/>
      <c r="I265" s="26" t="n"/>
      <c r="J265" s="25" t="n"/>
      <c r="K265" s="25" t="n"/>
      <c r="L265" s="25" t="n"/>
      <c r="M265" s="25" t="n"/>
    </row>
    <row r="266">
      <c r="A266" s="26" t="n"/>
      <c r="B266" s="25" t="n"/>
      <c r="C266" s="25" t="n"/>
      <c r="D266" s="25" t="n"/>
      <c r="E266" s="16" t="n"/>
      <c r="F266" s="25" t="n"/>
      <c r="G266" s="26" t="n"/>
      <c r="H266" s="26" t="n"/>
      <c r="I266" s="26" t="n"/>
      <c r="J266" s="25" t="n"/>
      <c r="K266" s="25" t="n"/>
      <c r="L266" s="25" t="n"/>
      <c r="M266" s="25" t="n"/>
    </row>
    <row r="267">
      <c r="A267" s="26" t="n"/>
      <c r="B267" s="25" t="n"/>
      <c r="C267" s="25" t="n"/>
      <c r="D267" s="25" t="n"/>
      <c r="E267" s="16" t="n"/>
      <c r="F267" s="25" t="n"/>
      <c r="G267" s="26" t="n"/>
      <c r="H267" s="26" t="n"/>
      <c r="I267" s="26" t="n"/>
      <c r="J267" s="25" t="n"/>
      <c r="K267" s="25" t="n"/>
      <c r="L267" s="25" t="n"/>
      <c r="M267" s="25" t="n"/>
    </row>
    <row r="268">
      <c r="A268" s="26" t="n"/>
      <c r="B268" s="25" t="n"/>
      <c r="C268" s="25" t="n"/>
      <c r="D268" s="25" t="n"/>
      <c r="E268" s="16" t="n"/>
      <c r="F268" s="25" t="n"/>
      <c r="G268" s="26" t="n"/>
      <c r="H268" s="26" t="n"/>
      <c r="I268" s="26" t="n"/>
      <c r="J268" s="25" t="n"/>
      <c r="K268" s="25" t="n"/>
      <c r="L268" s="25" t="n"/>
      <c r="M268" s="25" t="n"/>
    </row>
    <row r="269">
      <c r="A269" s="26" t="n"/>
      <c r="B269" s="25" t="n"/>
      <c r="C269" s="25" t="n"/>
      <c r="D269" s="25" t="n"/>
      <c r="E269" s="16" t="n"/>
      <c r="F269" s="25" t="n"/>
      <c r="G269" s="26" t="n"/>
      <c r="H269" s="26" t="n"/>
      <c r="I269" s="26" t="n"/>
      <c r="J269" s="25" t="n"/>
      <c r="K269" s="25" t="n"/>
      <c r="L269" s="25" t="n"/>
      <c r="M269" s="25" t="n"/>
    </row>
    <row r="270">
      <c r="A270" s="26" t="n"/>
      <c r="B270" s="25" t="n"/>
      <c r="C270" s="25" t="n"/>
      <c r="D270" s="25" t="n"/>
      <c r="E270" s="16" t="n"/>
      <c r="F270" s="25" t="n"/>
      <c r="G270" s="26" t="n"/>
      <c r="H270" s="26" t="n"/>
      <c r="I270" s="26" t="n"/>
      <c r="J270" s="25" t="n"/>
      <c r="K270" s="25" t="n"/>
      <c r="L270" s="25" t="n"/>
      <c r="M270" s="25" t="n"/>
    </row>
    <row r="271">
      <c r="A271" s="26" t="n"/>
      <c r="B271" s="25" t="n"/>
      <c r="C271" s="25" t="n"/>
      <c r="D271" s="25" t="n"/>
      <c r="E271" s="16" t="n"/>
      <c r="F271" s="25" t="n"/>
      <c r="G271" s="26" t="n"/>
      <c r="H271" s="26" t="n"/>
      <c r="I271" s="26" t="n"/>
      <c r="J271" s="25" t="n"/>
      <c r="K271" s="25" t="n"/>
      <c r="L271" s="25" t="n"/>
      <c r="M271" s="25" t="n"/>
    </row>
    <row r="272">
      <c r="A272" s="26" t="n"/>
      <c r="B272" s="25" t="n"/>
      <c r="C272" s="25" t="n"/>
      <c r="D272" s="25" t="n"/>
      <c r="E272" s="16" t="n"/>
      <c r="F272" s="25" t="n"/>
      <c r="G272" s="26" t="n"/>
      <c r="H272" s="26" t="n"/>
      <c r="I272" s="26" t="n"/>
      <c r="J272" s="25" t="n"/>
      <c r="K272" s="25" t="n"/>
      <c r="L272" s="25" t="n"/>
      <c r="M272" s="25" t="n"/>
    </row>
    <row r="273">
      <c r="A273" s="26" t="n"/>
      <c r="B273" s="25" t="n"/>
      <c r="C273" s="25" t="n"/>
      <c r="D273" s="25" t="n"/>
      <c r="E273" s="16" t="n"/>
      <c r="F273" s="25" t="n"/>
      <c r="G273" s="26" t="n"/>
      <c r="H273" s="26" t="n"/>
      <c r="I273" s="26" t="n"/>
      <c r="J273" s="25" t="n"/>
      <c r="K273" s="25" t="n"/>
      <c r="L273" s="25" t="n"/>
      <c r="M273" s="25" t="n"/>
    </row>
    <row r="274">
      <c r="A274" s="26" t="n"/>
      <c r="B274" s="25" t="n"/>
      <c r="C274" s="25" t="n"/>
      <c r="D274" s="25" t="n"/>
      <c r="E274" s="16" t="n"/>
      <c r="F274" s="25" t="n"/>
      <c r="G274" s="26" t="n"/>
      <c r="H274" s="26" t="n"/>
      <c r="I274" s="26" t="n"/>
      <c r="J274" s="25" t="n"/>
      <c r="K274" s="25" t="n"/>
      <c r="L274" s="25" t="n"/>
      <c r="M274" s="25" t="n"/>
    </row>
    <row r="275">
      <c r="A275" s="26" t="n"/>
      <c r="B275" s="25" t="n"/>
      <c r="C275" s="25" t="n"/>
      <c r="D275" s="25" t="n"/>
      <c r="E275" s="16" t="n"/>
      <c r="F275" s="25" t="n"/>
      <c r="G275" s="26" t="n"/>
      <c r="H275" s="26" t="n"/>
      <c r="I275" s="26" t="n"/>
      <c r="J275" s="25" t="n"/>
      <c r="K275" s="25" t="n"/>
      <c r="L275" s="25" t="n"/>
      <c r="M275" s="25" t="n"/>
    </row>
    <row r="276">
      <c r="A276" s="26" t="n"/>
      <c r="B276" s="25" t="n"/>
      <c r="C276" s="25" t="n"/>
      <c r="D276" s="25" t="n"/>
      <c r="E276" s="16" t="n"/>
      <c r="F276" s="25" t="n"/>
      <c r="G276" s="26" t="n"/>
      <c r="H276" s="26" t="n"/>
      <c r="I276" s="26" t="n"/>
      <c r="J276" s="25" t="n"/>
      <c r="K276" s="25" t="n"/>
      <c r="L276" s="25" t="n"/>
      <c r="M276" s="25" t="n"/>
    </row>
    <row r="277">
      <c r="A277" s="26" t="n"/>
      <c r="B277" s="25" t="n"/>
      <c r="C277" s="25" t="n"/>
      <c r="D277" s="25" t="n"/>
      <c r="E277" s="16" t="n"/>
      <c r="F277" s="25" t="n"/>
      <c r="G277" s="26" t="n"/>
      <c r="H277" s="26" t="n"/>
      <c r="I277" s="26" t="n"/>
      <c r="J277" s="25" t="n"/>
      <c r="K277" s="25" t="n"/>
      <c r="L277" s="25" t="n"/>
      <c r="M277" s="25" t="n"/>
    </row>
    <row r="278">
      <c r="A278" s="26" t="n"/>
      <c r="B278" s="25" t="n"/>
      <c r="C278" s="25" t="n"/>
      <c r="D278" s="25" t="n"/>
      <c r="E278" s="16" t="n"/>
      <c r="F278" s="25" t="n"/>
      <c r="G278" s="26" t="n"/>
      <c r="H278" s="26" t="n"/>
      <c r="I278" s="26" t="n"/>
      <c r="J278" s="25" t="n"/>
      <c r="K278" s="25" t="n"/>
      <c r="L278" s="25" t="n"/>
      <c r="M278" s="25" t="n"/>
    </row>
    <row r="279">
      <c r="A279" s="26" t="n"/>
      <c r="B279" s="25" t="n"/>
      <c r="C279" s="25" t="n"/>
      <c r="D279" s="25" t="n"/>
      <c r="E279" s="16" t="n"/>
      <c r="F279" s="25" t="n"/>
      <c r="G279" s="26" t="n"/>
      <c r="H279" s="26" t="n"/>
      <c r="I279" s="26" t="n"/>
      <c r="J279" s="25" t="n"/>
      <c r="K279" s="25" t="n"/>
      <c r="L279" s="25" t="n"/>
      <c r="M279" s="25" t="n"/>
    </row>
    <row r="280">
      <c r="A280" s="26" t="n"/>
      <c r="B280" s="25" t="n"/>
      <c r="C280" s="25" t="n"/>
      <c r="D280" s="25" t="n"/>
      <c r="E280" s="16" t="n"/>
      <c r="F280" s="25" t="n"/>
      <c r="G280" s="26" t="n"/>
      <c r="H280" s="26" t="n"/>
      <c r="I280" s="26" t="n"/>
      <c r="J280" s="25" t="n"/>
      <c r="K280" s="25" t="n"/>
      <c r="L280" s="25" t="n"/>
      <c r="M280" s="25" t="n"/>
    </row>
    <row r="281">
      <c r="A281" s="26" t="n"/>
      <c r="B281" s="25" t="n"/>
      <c r="C281" s="25" t="n"/>
      <c r="D281" s="25" t="n"/>
      <c r="E281" s="16" t="n"/>
      <c r="F281" s="25" t="n"/>
      <c r="G281" s="26" t="n"/>
      <c r="H281" s="26" t="n"/>
      <c r="I281" s="26" t="n"/>
      <c r="J281" s="25" t="n"/>
      <c r="K281" s="25" t="n"/>
      <c r="L281" s="25" t="n"/>
      <c r="M281" s="25" t="n"/>
    </row>
    <row r="282">
      <c r="A282" s="26" t="n"/>
      <c r="B282" s="25" t="n"/>
      <c r="C282" s="25" t="n"/>
      <c r="D282" s="25" t="n"/>
      <c r="E282" s="16" t="n"/>
      <c r="F282" s="25" t="n"/>
      <c r="G282" s="26" t="n"/>
      <c r="H282" s="26" t="n"/>
      <c r="I282" s="26" t="n"/>
      <c r="J282" s="25" t="n"/>
      <c r="K282" s="25" t="n"/>
      <c r="L282" s="25" t="n"/>
      <c r="M282" s="25" t="n"/>
    </row>
    <row r="283">
      <c r="A283" s="26" t="n"/>
      <c r="B283" s="25" t="n"/>
      <c r="C283" s="25" t="n"/>
      <c r="D283" s="25" t="n"/>
      <c r="E283" s="16" t="n"/>
      <c r="F283" s="25" t="n"/>
      <c r="G283" s="26" t="n"/>
      <c r="H283" s="26" t="n"/>
      <c r="I283" s="26" t="n"/>
      <c r="J283" s="25" t="n"/>
      <c r="K283" s="25" t="n"/>
      <c r="L283" s="25" t="n"/>
      <c r="M283" s="25" t="n"/>
    </row>
    <row r="284">
      <c r="A284" s="26" t="n"/>
      <c r="B284" s="25" t="n"/>
      <c r="C284" s="25" t="n"/>
      <c r="D284" s="25" t="n"/>
      <c r="E284" s="16" t="n"/>
      <c r="F284" s="25" t="n"/>
      <c r="G284" s="26" t="n"/>
      <c r="H284" s="26" t="n"/>
      <c r="I284" s="26" t="n"/>
      <c r="J284" s="25" t="n"/>
      <c r="K284" s="25" t="n"/>
      <c r="L284" s="25" t="n"/>
      <c r="M284" s="25" t="n"/>
    </row>
    <row r="285">
      <c r="A285" s="26" t="n"/>
      <c r="B285" s="25" t="n"/>
      <c r="C285" s="25" t="n"/>
      <c r="D285" s="25" t="n"/>
      <c r="E285" s="16" t="n"/>
      <c r="F285" s="25" t="n"/>
      <c r="G285" s="26" t="n"/>
      <c r="H285" s="26" t="n"/>
      <c r="I285" s="26" t="n"/>
      <c r="J285" s="25" t="n"/>
      <c r="K285" s="25" t="n"/>
      <c r="L285" s="25" t="n"/>
      <c r="M285" s="25" t="n"/>
    </row>
    <row r="286">
      <c r="A286" s="26" t="n"/>
      <c r="B286" s="25" t="n"/>
      <c r="C286" s="25" t="n"/>
      <c r="D286" s="25" t="n"/>
      <c r="E286" s="16" t="n"/>
      <c r="F286" s="25" t="n"/>
      <c r="G286" s="26" t="n"/>
      <c r="H286" s="26" t="n"/>
      <c r="I286" s="26" t="n"/>
      <c r="J286" s="25" t="n"/>
      <c r="K286" s="25" t="n"/>
      <c r="L286" s="25" t="n"/>
      <c r="M286" s="25" t="n"/>
    </row>
    <row r="287">
      <c r="A287" s="26" t="n"/>
      <c r="B287" s="25" t="n"/>
      <c r="C287" s="25" t="n"/>
      <c r="D287" s="25" t="n"/>
      <c r="E287" s="16" t="n"/>
      <c r="F287" s="25" t="n"/>
      <c r="G287" s="26" t="n"/>
      <c r="H287" s="26" t="n"/>
      <c r="I287" s="26" t="n"/>
      <c r="J287" s="25" t="n"/>
      <c r="K287" s="25" t="n"/>
      <c r="L287" s="25" t="n"/>
      <c r="M287" s="25" t="n"/>
    </row>
    <row r="288">
      <c r="A288" s="26" t="n"/>
      <c r="B288" s="25" t="n"/>
      <c r="C288" s="25" t="n"/>
      <c r="D288" s="25" t="n"/>
      <c r="E288" s="16" t="n"/>
      <c r="F288" s="25" t="n"/>
      <c r="G288" s="26" t="n"/>
      <c r="H288" s="26" t="n"/>
      <c r="I288" s="26" t="n"/>
      <c r="J288" s="25" t="n"/>
      <c r="K288" s="25" t="n"/>
      <c r="L288" s="25" t="n"/>
      <c r="M288" s="25" t="n"/>
    </row>
    <row r="289">
      <c r="A289" s="26" t="n"/>
      <c r="B289" s="25" t="n"/>
      <c r="C289" s="25" t="n"/>
      <c r="D289" s="25" t="n"/>
      <c r="E289" s="16" t="n"/>
      <c r="F289" s="25" t="n"/>
      <c r="G289" s="26" t="n"/>
      <c r="H289" s="26" t="n"/>
      <c r="I289" s="26" t="n"/>
      <c r="J289" s="25" t="n"/>
      <c r="K289" s="25" t="n"/>
      <c r="L289" s="25" t="n"/>
      <c r="M289" s="25" t="n"/>
    </row>
    <row r="290">
      <c r="A290" s="26" t="n"/>
      <c r="B290" s="25" t="n"/>
      <c r="C290" s="25" t="n"/>
      <c r="D290" s="25" t="n"/>
      <c r="E290" s="16" t="n"/>
      <c r="F290" s="25" t="n"/>
      <c r="G290" s="26" t="n"/>
      <c r="H290" s="26" t="n"/>
      <c r="I290" s="26" t="n"/>
      <c r="J290" s="25" t="n"/>
      <c r="K290" s="25" t="n"/>
      <c r="L290" s="25" t="n"/>
      <c r="M290" s="25" t="n"/>
    </row>
    <row r="291">
      <c r="A291" s="26" t="n"/>
      <c r="B291" s="25" t="n"/>
      <c r="C291" s="25" t="n"/>
      <c r="D291" s="25" t="n"/>
      <c r="E291" s="16" t="n"/>
      <c r="F291" s="25" t="n"/>
      <c r="G291" s="26" t="n"/>
      <c r="H291" s="26" t="n"/>
      <c r="I291" s="26" t="n"/>
      <c r="J291" s="25" t="n"/>
      <c r="K291" s="25" t="n"/>
      <c r="L291" s="25" t="n"/>
      <c r="M291" s="25" t="n"/>
    </row>
    <row r="292">
      <c r="A292" s="26" t="n"/>
      <c r="B292" s="25" t="n"/>
      <c r="C292" s="25" t="n"/>
      <c r="D292" s="25" t="n"/>
      <c r="E292" s="16" t="n"/>
      <c r="F292" s="25" t="n"/>
      <c r="G292" s="26" t="n"/>
      <c r="H292" s="26" t="n"/>
      <c r="I292" s="26" t="n"/>
      <c r="J292" s="25" t="n"/>
      <c r="K292" s="25" t="n"/>
      <c r="L292" s="25" t="n"/>
      <c r="M292" s="25" t="n"/>
    </row>
    <row r="293">
      <c r="A293" s="26" t="n"/>
      <c r="B293" s="25" t="n"/>
      <c r="C293" s="25" t="n"/>
      <c r="D293" s="25" t="n"/>
      <c r="E293" s="16" t="n"/>
      <c r="F293" s="25" t="n"/>
      <c r="G293" s="26" t="n"/>
      <c r="H293" s="26" t="n"/>
      <c r="I293" s="26" t="n"/>
      <c r="J293" s="25" t="n"/>
      <c r="K293" s="25" t="n"/>
      <c r="L293" s="25" t="n"/>
      <c r="M293" s="25" t="n"/>
    </row>
    <row r="294">
      <c r="A294" s="26" t="n"/>
      <c r="B294" s="25" t="n"/>
      <c r="C294" s="25" t="n"/>
      <c r="D294" s="25" t="n"/>
      <c r="E294" s="16" t="n"/>
      <c r="F294" s="25" t="n"/>
      <c r="G294" s="26" t="n"/>
      <c r="H294" s="26" t="n"/>
      <c r="I294" s="26" t="n"/>
      <c r="J294" s="25" t="n"/>
      <c r="K294" s="25" t="n"/>
      <c r="L294" s="25" t="n"/>
      <c r="M294" s="25" t="n"/>
    </row>
    <row r="295">
      <c r="A295" s="26" t="n"/>
      <c r="B295" s="25" t="n"/>
      <c r="C295" s="25" t="n"/>
      <c r="D295" s="25" t="n"/>
      <c r="E295" s="16" t="n"/>
      <c r="F295" s="25" t="n"/>
      <c r="G295" s="26" t="n"/>
      <c r="H295" s="26" t="n"/>
      <c r="I295" s="26" t="n"/>
      <c r="J295" s="25" t="n"/>
      <c r="K295" s="25" t="n"/>
      <c r="L295" s="25" t="n"/>
      <c r="M295" s="25" t="n"/>
    </row>
    <row r="296">
      <c r="A296" s="26" t="n"/>
      <c r="B296" s="25" t="n"/>
      <c r="C296" s="25" t="n"/>
      <c r="D296" s="25" t="n"/>
      <c r="E296" s="16" t="n"/>
      <c r="F296" s="25" t="n"/>
      <c r="G296" s="26" t="n"/>
      <c r="H296" s="26" t="n"/>
      <c r="I296" s="26" t="n"/>
      <c r="J296" s="25" t="n"/>
      <c r="K296" s="25" t="n"/>
      <c r="L296" s="25" t="n"/>
      <c r="M296" s="25" t="n"/>
    </row>
    <row r="297">
      <c r="A297" s="26" t="n"/>
      <c r="B297" s="25" t="n"/>
      <c r="C297" s="25" t="n"/>
      <c r="D297" s="25" t="n"/>
      <c r="E297" s="16" t="n"/>
      <c r="F297" s="25" t="n"/>
      <c r="G297" s="26" t="n"/>
      <c r="H297" s="26" t="n"/>
      <c r="I297" s="26" t="n"/>
      <c r="J297" s="25" t="n"/>
      <c r="K297" s="25" t="n"/>
      <c r="L297" s="25" t="n"/>
      <c r="M297" s="25" t="n"/>
    </row>
    <row r="298">
      <c r="A298" s="26" t="n"/>
      <c r="B298" s="25" t="n"/>
      <c r="C298" s="25" t="n"/>
      <c r="D298" s="25" t="n"/>
      <c r="E298" s="16" t="n"/>
      <c r="F298" s="25" t="n"/>
      <c r="G298" s="26" t="n"/>
      <c r="H298" s="26" t="n"/>
      <c r="I298" s="26" t="n"/>
      <c r="J298" s="25" t="n"/>
      <c r="K298" s="25" t="n"/>
      <c r="L298" s="25" t="n"/>
      <c r="M298" s="25" t="n"/>
    </row>
    <row r="299">
      <c r="A299" s="26" t="n"/>
      <c r="B299" s="25" t="n"/>
      <c r="C299" s="25" t="n"/>
      <c r="D299" s="25" t="n"/>
      <c r="E299" s="16" t="n"/>
      <c r="F299" s="25" t="n"/>
      <c r="G299" s="26" t="n"/>
      <c r="H299" s="26" t="n"/>
      <c r="I299" s="26" t="n"/>
      <c r="J299" s="25" t="n"/>
      <c r="K299" s="25" t="n"/>
      <c r="L299" s="25" t="n"/>
      <c r="M299" s="25" t="n"/>
    </row>
    <row r="300">
      <c r="A300" s="26" t="n"/>
      <c r="B300" s="25" t="n"/>
      <c r="C300" s="25" t="n"/>
      <c r="D300" s="25" t="n"/>
      <c r="E300" s="16" t="n"/>
      <c r="F300" s="25" t="n"/>
      <c r="G300" s="26" t="n"/>
      <c r="H300" s="26" t="n"/>
      <c r="I300" s="26" t="n"/>
      <c r="J300" s="25" t="n"/>
      <c r="K300" s="25" t="n"/>
      <c r="L300" s="25" t="n"/>
      <c r="M300" s="25" t="n"/>
    </row>
    <row r="301">
      <c r="A301" s="26" t="n"/>
      <c r="B301" s="25" t="n"/>
      <c r="C301" s="25" t="n"/>
      <c r="D301" s="25" t="n"/>
      <c r="E301" s="16" t="n"/>
      <c r="F301" s="25" t="n"/>
      <c r="G301" s="26" t="n"/>
      <c r="H301" s="26" t="n"/>
      <c r="I301" s="26" t="n"/>
      <c r="J301" s="25" t="n"/>
      <c r="K301" s="25" t="n"/>
      <c r="L301" s="25" t="n"/>
      <c r="M301" s="25" t="n"/>
    </row>
  </sheetData>
  <dataValidations count="2">
    <dataValidation sqref="F2:F301" showDropDown="0" showInputMessage="0" showErrorMessage="0" allowBlank="1" type="list">
      <formula1>"Sí,No"</formula1>
    </dataValidation>
    <dataValidation sqref="K2:K301" showDropDown="0" showInputMessage="0" showErrorMessage="0" allowBlank="1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1" customWidth="1" min="4" max="4"/>
    <col width="12" customWidth="1" min="5" max="5"/>
    <col width="30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 ht="34" customHeight="1">
      <c r="A1" s="18" t="inlineStr">
        <is>
          <t>Nº pedido</t>
        </is>
      </c>
      <c r="B1" s="18" t="inlineStr">
        <is>
          <t>Fecha entrega</t>
        </is>
      </c>
      <c r="C1" s="18" t="inlineStr">
        <is>
          <t>Fecha solicitud</t>
        </is>
      </c>
      <c r="D1" s="18" t="inlineStr">
        <is>
          <t>Días desde entrega</t>
        </is>
      </c>
      <c r="E1" s="18" t="inlineStr">
        <is>
          <t>Dentro de plazo (14 días)</t>
        </is>
      </c>
      <c r="F1" s="18" t="inlineStr">
        <is>
          <t>Motivo</t>
        </is>
      </c>
      <c r="G1" s="18" t="inlineStr">
        <is>
          <t>Estado</t>
        </is>
      </c>
      <c r="H1" s="18" t="inlineStr">
        <is>
          <t>Importe reembolsado (€)</t>
        </is>
      </c>
      <c r="I1" s="18" t="inlineStr">
        <is>
          <t>Coste devolución (€)</t>
        </is>
      </c>
      <c r="J1" s="18" t="inlineStr">
        <is>
          <t>Notas</t>
        </is>
      </c>
    </row>
    <row r="2">
      <c r="A2" s="25" t="n"/>
      <c r="B2" s="31">
        <f>IF(A2="","",IFERROR(INDEX(Pedidos!$Y$2:$Y$301,MATCH(A2,Pedidos!$A$2:$A$301,0)),""))</f>
        <v/>
      </c>
      <c r="C2" s="26" t="n"/>
      <c r="D2" s="15">
        <f>IF(OR(B2="",C2="",B2=0),"",C2-B2)</f>
        <v/>
      </c>
      <c r="E2" s="15">
        <f>IF(D2="","",IF(D2&lt;=14,"Sí","No"))</f>
        <v/>
      </c>
      <c r="F2" s="25" t="n"/>
      <c r="G2" s="25" t="n"/>
      <c r="H2" s="16" t="n"/>
      <c r="I2" s="16" t="n"/>
      <c r="J2" s="25" t="n"/>
    </row>
    <row r="3">
      <c r="A3" s="25" t="n"/>
      <c r="B3" s="31">
        <f>IF(A3="","",IFERROR(INDEX(Pedidos!$Y$2:$Y$301,MATCH(A3,Pedidos!$A$2:$A$301,0)),""))</f>
        <v/>
      </c>
      <c r="C3" s="26" t="n"/>
      <c r="D3" s="15">
        <f>IF(OR(B3="",C3="",B3=0),"",C3-B3)</f>
        <v/>
      </c>
      <c r="E3" s="15">
        <f>IF(D3="","",IF(D3&lt;=14,"Sí","No"))</f>
        <v/>
      </c>
      <c r="F3" s="25" t="n"/>
      <c r="G3" s="25" t="n"/>
      <c r="H3" s="16" t="n"/>
      <c r="I3" s="16" t="n"/>
      <c r="J3" s="25" t="n"/>
    </row>
    <row r="4">
      <c r="A4" s="25" t="n"/>
      <c r="B4" s="31">
        <f>IF(A4="","",IFERROR(INDEX(Pedidos!$Y$2:$Y$301,MATCH(A4,Pedidos!$A$2:$A$301,0)),""))</f>
        <v/>
      </c>
      <c r="C4" s="26" t="n"/>
      <c r="D4" s="15">
        <f>IF(OR(B4="",C4="",B4=0),"",C4-B4)</f>
        <v/>
      </c>
      <c r="E4" s="15">
        <f>IF(D4="","",IF(D4&lt;=14,"Sí","No"))</f>
        <v/>
      </c>
      <c r="F4" s="25" t="n"/>
      <c r="G4" s="25" t="n"/>
      <c r="H4" s="16" t="n"/>
      <c r="I4" s="16" t="n"/>
      <c r="J4" s="25" t="n"/>
    </row>
    <row r="5">
      <c r="A5" s="25" t="n"/>
      <c r="B5" s="31">
        <f>IF(A5="","",IFERROR(INDEX(Pedidos!$Y$2:$Y$301,MATCH(A5,Pedidos!$A$2:$A$301,0)),""))</f>
        <v/>
      </c>
      <c r="C5" s="26" t="n"/>
      <c r="D5" s="15">
        <f>IF(OR(B5="",C5="",B5=0),"",C5-B5)</f>
        <v/>
      </c>
      <c r="E5" s="15">
        <f>IF(D5="","",IF(D5&lt;=14,"Sí","No"))</f>
        <v/>
      </c>
      <c r="F5" s="25" t="n"/>
      <c r="G5" s="25" t="n"/>
      <c r="H5" s="16" t="n"/>
      <c r="I5" s="16" t="n"/>
      <c r="J5" s="25" t="n"/>
    </row>
    <row r="6">
      <c r="A6" s="25" t="n"/>
      <c r="B6" s="31">
        <f>IF(A6="","",IFERROR(INDEX(Pedidos!$Y$2:$Y$301,MATCH(A6,Pedidos!$A$2:$A$301,0)),""))</f>
        <v/>
      </c>
      <c r="C6" s="26" t="n"/>
      <c r="D6" s="15">
        <f>IF(OR(B6="",C6="",B6=0),"",C6-B6)</f>
        <v/>
      </c>
      <c r="E6" s="15">
        <f>IF(D6="","",IF(D6&lt;=14,"Sí","No"))</f>
        <v/>
      </c>
      <c r="F6" s="25" t="n"/>
      <c r="G6" s="25" t="n"/>
      <c r="H6" s="16" t="n"/>
      <c r="I6" s="16" t="n"/>
      <c r="J6" s="25" t="n"/>
    </row>
    <row r="7">
      <c r="A7" s="25" t="n"/>
      <c r="B7" s="31">
        <f>IF(A7="","",IFERROR(INDEX(Pedidos!$Y$2:$Y$301,MATCH(A7,Pedidos!$A$2:$A$301,0)),""))</f>
        <v/>
      </c>
      <c r="C7" s="26" t="n"/>
      <c r="D7" s="15">
        <f>IF(OR(B7="",C7="",B7=0),"",C7-B7)</f>
        <v/>
      </c>
      <c r="E7" s="15">
        <f>IF(D7="","",IF(D7&lt;=14,"Sí","No"))</f>
        <v/>
      </c>
      <c r="F7" s="25" t="n"/>
      <c r="G7" s="25" t="n"/>
      <c r="H7" s="16" t="n"/>
      <c r="I7" s="16" t="n"/>
      <c r="J7" s="25" t="n"/>
    </row>
    <row r="8">
      <c r="A8" s="25" t="n"/>
      <c r="B8" s="31">
        <f>IF(A8="","",IFERROR(INDEX(Pedidos!$Y$2:$Y$301,MATCH(A8,Pedidos!$A$2:$A$301,0)),""))</f>
        <v/>
      </c>
      <c r="C8" s="26" t="n"/>
      <c r="D8" s="15">
        <f>IF(OR(B8="",C8="",B8=0),"",C8-B8)</f>
        <v/>
      </c>
      <c r="E8" s="15">
        <f>IF(D8="","",IF(D8&lt;=14,"Sí","No"))</f>
        <v/>
      </c>
      <c r="F8" s="25" t="n"/>
      <c r="G8" s="25" t="n"/>
      <c r="H8" s="16" t="n"/>
      <c r="I8" s="16" t="n"/>
      <c r="J8" s="25" t="n"/>
    </row>
    <row r="9">
      <c r="A9" s="25" t="n"/>
      <c r="B9" s="31">
        <f>IF(A9="","",IFERROR(INDEX(Pedidos!$Y$2:$Y$301,MATCH(A9,Pedidos!$A$2:$A$301,0)),""))</f>
        <v/>
      </c>
      <c r="C9" s="26" t="n"/>
      <c r="D9" s="15">
        <f>IF(OR(B9="",C9="",B9=0),"",C9-B9)</f>
        <v/>
      </c>
      <c r="E9" s="15">
        <f>IF(D9="","",IF(D9&lt;=14,"Sí","No"))</f>
        <v/>
      </c>
      <c r="F9" s="25" t="n"/>
      <c r="G9" s="25" t="n"/>
      <c r="H9" s="16" t="n"/>
      <c r="I9" s="16" t="n"/>
      <c r="J9" s="25" t="n"/>
    </row>
    <row r="10">
      <c r="A10" s="25" t="n"/>
      <c r="B10" s="31">
        <f>IF(A10="","",IFERROR(INDEX(Pedidos!$Y$2:$Y$301,MATCH(A10,Pedidos!$A$2:$A$301,0)),""))</f>
        <v/>
      </c>
      <c r="C10" s="26" t="n"/>
      <c r="D10" s="15">
        <f>IF(OR(B10="",C10="",B10=0),"",C10-B10)</f>
        <v/>
      </c>
      <c r="E10" s="15">
        <f>IF(D10="","",IF(D10&lt;=14,"Sí","No"))</f>
        <v/>
      </c>
      <c r="F10" s="25" t="n"/>
      <c r="G10" s="25" t="n"/>
      <c r="H10" s="16" t="n"/>
      <c r="I10" s="16" t="n"/>
      <c r="J10" s="25" t="n"/>
    </row>
    <row r="11">
      <c r="A11" s="25" t="n"/>
      <c r="B11" s="31">
        <f>IF(A11="","",IFERROR(INDEX(Pedidos!$Y$2:$Y$301,MATCH(A11,Pedidos!$A$2:$A$301,0)),""))</f>
        <v/>
      </c>
      <c r="C11" s="26" t="n"/>
      <c r="D11" s="15">
        <f>IF(OR(B11="",C11="",B11=0),"",C11-B11)</f>
        <v/>
      </c>
      <c r="E11" s="15">
        <f>IF(D11="","",IF(D11&lt;=14,"Sí","No"))</f>
        <v/>
      </c>
      <c r="F11" s="25" t="n"/>
      <c r="G11" s="25" t="n"/>
      <c r="H11" s="16" t="n"/>
      <c r="I11" s="16" t="n"/>
      <c r="J11" s="25" t="n"/>
    </row>
    <row r="12">
      <c r="A12" s="25" t="n"/>
      <c r="B12" s="31">
        <f>IF(A12="","",IFERROR(INDEX(Pedidos!$Y$2:$Y$301,MATCH(A12,Pedidos!$A$2:$A$301,0)),""))</f>
        <v/>
      </c>
      <c r="C12" s="26" t="n"/>
      <c r="D12" s="15">
        <f>IF(OR(B12="",C12="",B12=0),"",C12-B12)</f>
        <v/>
      </c>
      <c r="E12" s="15">
        <f>IF(D12="","",IF(D12&lt;=14,"Sí","No"))</f>
        <v/>
      </c>
      <c r="F12" s="25" t="n"/>
      <c r="G12" s="25" t="n"/>
      <c r="H12" s="16" t="n"/>
      <c r="I12" s="16" t="n"/>
      <c r="J12" s="25" t="n"/>
    </row>
    <row r="13">
      <c r="A13" s="25" t="n"/>
      <c r="B13" s="31">
        <f>IF(A13="","",IFERROR(INDEX(Pedidos!$Y$2:$Y$301,MATCH(A13,Pedidos!$A$2:$A$301,0)),""))</f>
        <v/>
      </c>
      <c r="C13" s="26" t="n"/>
      <c r="D13" s="15">
        <f>IF(OR(B13="",C13="",B13=0),"",C13-B13)</f>
        <v/>
      </c>
      <c r="E13" s="15">
        <f>IF(D13="","",IF(D13&lt;=14,"Sí","No"))</f>
        <v/>
      </c>
      <c r="F13" s="25" t="n"/>
      <c r="G13" s="25" t="n"/>
      <c r="H13" s="16" t="n"/>
      <c r="I13" s="16" t="n"/>
      <c r="J13" s="25" t="n"/>
    </row>
    <row r="14">
      <c r="A14" s="25" t="n"/>
      <c r="B14" s="31">
        <f>IF(A14="","",IFERROR(INDEX(Pedidos!$Y$2:$Y$301,MATCH(A14,Pedidos!$A$2:$A$301,0)),""))</f>
        <v/>
      </c>
      <c r="C14" s="26" t="n"/>
      <c r="D14" s="15">
        <f>IF(OR(B14="",C14="",B14=0),"",C14-B14)</f>
        <v/>
      </c>
      <c r="E14" s="15">
        <f>IF(D14="","",IF(D14&lt;=14,"Sí","No"))</f>
        <v/>
      </c>
      <c r="F14" s="25" t="n"/>
      <c r="G14" s="25" t="n"/>
      <c r="H14" s="16" t="n"/>
      <c r="I14" s="16" t="n"/>
      <c r="J14" s="25" t="n"/>
    </row>
    <row r="15">
      <c r="A15" s="25" t="n"/>
      <c r="B15" s="31">
        <f>IF(A15="","",IFERROR(INDEX(Pedidos!$Y$2:$Y$301,MATCH(A15,Pedidos!$A$2:$A$301,0)),""))</f>
        <v/>
      </c>
      <c r="C15" s="26" t="n"/>
      <c r="D15" s="15">
        <f>IF(OR(B15="",C15="",B15=0),"",C15-B15)</f>
        <v/>
      </c>
      <c r="E15" s="15">
        <f>IF(D15="","",IF(D15&lt;=14,"Sí","No"))</f>
        <v/>
      </c>
      <c r="F15" s="25" t="n"/>
      <c r="G15" s="25" t="n"/>
      <c r="H15" s="16" t="n"/>
      <c r="I15" s="16" t="n"/>
      <c r="J15" s="25" t="n"/>
    </row>
    <row r="16">
      <c r="A16" s="25" t="n"/>
      <c r="B16" s="31">
        <f>IF(A16="","",IFERROR(INDEX(Pedidos!$Y$2:$Y$301,MATCH(A16,Pedidos!$A$2:$A$301,0)),""))</f>
        <v/>
      </c>
      <c r="C16" s="26" t="n"/>
      <c r="D16" s="15">
        <f>IF(OR(B16="",C16="",B16=0),"",C16-B16)</f>
        <v/>
      </c>
      <c r="E16" s="15">
        <f>IF(D16="","",IF(D16&lt;=14,"Sí","No"))</f>
        <v/>
      </c>
      <c r="F16" s="25" t="n"/>
      <c r="G16" s="25" t="n"/>
      <c r="H16" s="16" t="n"/>
      <c r="I16" s="16" t="n"/>
      <c r="J16" s="25" t="n"/>
    </row>
    <row r="17">
      <c r="A17" s="25" t="n"/>
      <c r="B17" s="31">
        <f>IF(A17="","",IFERROR(INDEX(Pedidos!$Y$2:$Y$301,MATCH(A17,Pedidos!$A$2:$A$301,0)),""))</f>
        <v/>
      </c>
      <c r="C17" s="26" t="n"/>
      <c r="D17" s="15">
        <f>IF(OR(B17="",C17="",B17=0),"",C17-B17)</f>
        <v/>
      </c>
      <c r="E17" s="15">
        <f>IF(D17="","",IF(D17&lt;=14,"Sí","No"))</f>
        <v/>
      </c>
      <c r="F17" s="25" t="n"/>
      <c r="G17" s="25" t="n"/>
      <c r="H17" s="16" t="n"/>
      <c r="I17" s="16" t="n"/>
      <c r="J17" s="25" t="n"/>
    </row>
    <row r="18">
      <c r="A18" s="25" t="n"/>
      <c r="B18" s="31">
        <f>IF(A18="","",IFERROR(INDEX(Pedidos!$Y$2:$Y$301,MATCH(A18,Pedidos!$A$2:$A$301,0)),""))</f>
        <v/>
      </c>
      <c r="C18" s="26" t="n"/>
      <c r="D18" s="15">
        <f>IF(OR(B18="",C18="",B18=0),"",C18-B18)</f>
        <v/>
      </c>
      <c r="E18" s="15">
        <f>IF(D18="","",IF(D18&lt;=14,"Sí","No"))</f>
        <v/>
      </c>
      <c r="F18" s="25" t="n"/>
      <c r="G18" s="25" t="n"/>
      <c r="H18" s="16" t="n"/>
      <c r="I18" s="16" t="n"/>
      <c r="J18" s="25" t="n"/>
    </row>
    <row r="19">
      <c r="A19" s="25" t="n"/>
      <c r="B19" s="31">
        <f>IF(A19="","",IFERROR(INDEX(Pedidos!$Y$2:$Y$301,MATCH(A19,Pedidos!$A$2:$A$301,0)),""))</f>
        <v/>
      </c>
      <c r="C19" s="26" t="n"/>
      <c r="D19" s="15">
        <f>IF(OR(B19="",C19="",B19=0),"",C19-B19)</f>
        <v/>
      </c>
      <c r="E19" s="15">
        <f>IF(D19="","",IF(D19&lt;=14,"Sí","No"))</f>
        <v/>
      </c>
      <c r="F19" s="25" t="n"/>
      <c r="G19" s="25" t="n"/>
      <c r="H19" s="16" t="n"/>
      <c r="I19" s="16" t="n"/>
      <c r="J19" s="25" t="n"/>
    </row>
    <row r="20">
      <c r="A20" s="25" t="n"/>
      <c r="B20" s="31">
        <f>IF(A20="","",IFERROR(INDEX(Pedidos!$Y$2:$Y$301,MATCH(A20,Pedidos!$A$2:$A$301,0)),""))</f>
        <v/>
      </c>
      <c r="C20" s="26" t="n"/>
      <c r="D20" s="15">
        <f>IF(OR(B20="",C20="",B20=0),"",C20-B20)</f>
        <v/>
      </c>
      <c r="E20" s="15">
        <f>IF(D20="","",IF(D20&lt;=14,"Sí","No"))</f>
        <v/>
      </c>
      <c r="F20" s="25" t="n"/>
      <c r="G20" s="25" t="n"/>
      <c r="H20" s="16" t="n"/>
      <c r="I20" s="16" t="n"/>
      <c r="J20" s="25" t="n"/>
    </row>
    <row r="21">
      <c r="A21" s="25" t="n"/>
      <c r="B21" s="31">
        <f>IF(A21="","",IFERROR(INDEX(Pedidos!$Y$2:$Y$301,MATCH(A21,Pedidos!$A$2:$A$301,0)),""))</f>
        <v/>
      </c>
      <c r="C21" s="26" t="n"/>
      <c r="D21" s="15">
        <f>IF(OR(B21="",C21="",B21=0),"",C21-B21)</f>
        <v/>
      </c>
      <c r="E21" s="15">
        <f>IF(D21="","",IF(D21&lt;=14,"Sí","No"))</f>
        <v/>
      </c>
      <c r="F21" s="25" t="n"/>
      <c r="G21" s="25" t="n"/>
      <c r="H21" s="16" t="n"/>
      <c r="I21" s="16" t="n"/>
      <c r="J21" s="25" t="n"/>
    </row>
    <row r="22">
      <c r="A22" s="25" t="n"/>
      <c r="B22" s="31">
        <f>IF(A22="","",IFERROR(INDEX(Pedidos!$Y$2:$Y$301,MATCH(A22,Pedidos!$A$2:$A$301,0)),""))</f>
        <v/>
      </c>
      <c r="C22" s="26" t="n"/>
      <c r="D22" s="15">
        <f>IF(OR(B22="",C22="",B22=0),"",C22-B22)</f>
        <v/>
      </c>
      <c r="E22" s="15">
        <f>IF(D22="","",IF(D22&lt;=14,"Sí","No"))</f>
        <v/>
      </c>
      <c r="F22" s="25" t="n"/>
      <c r="G22" s="25" t="n"/>
      <c r="H22" s="16" t="n"/>
      <c r="I22" s="16" t="n"/>
      <c r="J22" s="25" t="n"/>
    </row>
    <row r="23">
      <c r="A23" s="25" t="n"/>
      <c r="B23" s="31">
        <f>IF(A23="","",IFERROR(INDEX(Pedidos!$Y$2:$Y$301,MATCH(A23,Pedidos!$A$2:$A$301,0)),""))</f>
        <v/>
      </c>
      <c r="C23" s="26" t="n"/>
      <c r="D23" s="15">
        <f>IF(OR(B23="",C23="",B23=0),"",C23-B23)</f>
        <v/>
      </c>
      <c r="E23" s="15">
        <f>IF(D23="","",IF(D23&lt;=14,"Sí","No"))</f>
        <v/>
      </c>
      <c r="F23" s="25" t="n"/>
      <c r="G23" s="25" t="n"/>
      <c r="H23" s="16" t="n"/>
      <c r="I23" s="16" t="n"/>
      <c r="J23" s="25" t="n"/>
    </row>
    <row r="24">
      <c r="A24" s="25" t="n"/>
      <c r="B24" s="31">
        <f>IF(A24="","",IFERROR(INDEX(Pedidos!$Y$2:$Y$301,MATCH(A24,Pedidos!$A$2:$A$301,0)),""))</f>
        <v/>
      </c>
      <c r="C24" s="26" t="n"/>
      <c r="D24" s="15">
        <f>IF(OR(B24="",C24="",B24=0),"",C24-B24)</f>
        <v/>
      </c>
      <c r="E24" s="15">
        <f>IF(D24="","",IF(D24&lt;=14,"Sí","No"))</f>
        <v/>
      </c>
      <c r="F24" s="25" t="n"/>
      <c r="G24" s="25" t="n"/>
      <c r="H24" s="16" t="n"/>
      <c r="I24" s="16" t="n"/>
      <c r="J24" s="25" t="n"/>
    </row>
    <row r="25">
      <c r="A25" s="25" t="n"/>
      <c r="B25" s="31">
        <f>IF(A25="","",IFERROR(INDEX(Pedidos!$Y$2:$Y$301,MATCH(A25,Pedidos!$A$2:$A$301,0)),""))</f>
        <v/>
      </c>
      <c r="C25" s="26" t="n"/>
      <c r="D25" s="15">
        <f>IF(OR(B25="",C25="",B25=0),"",C25-B25)</f>
        <v/>
      </c>
      <c r="E25" s="15">
        <f>IF(D25="","",IF(D25&lt;=14,"Sí","No"))</f>
        <v/>
      </c>
      <c r="F25" s="25" t="n"/>
      <c r="G25" s="25" t="n"/>
      <c r="H25" s="16" t="n"/>
      <c r="I25" s="16" t="n"/>
      <c r="J25" s="25" t="n"/>
    </row>
    <row r="26">
      <c r="A26" s="25" t="n"/>
      <c r="B26" s="31">
        <f>IF(A26="","",IFERROR(INDEX(Pedidos!$Y$2:$Y$301,MATCH(A26,Pedidos!$A$2:$A$301,0)),""))</f>
        <v/>
      </c>
      <c r="C26" s="26" t="n"/>
      <c r="D26" s="15">
        <f>IF(OR(B26="",C26="",B26=0),"",C26-B26)</f>
        <v/>
      </c>
      <c r="E26" s="15">
        <f>IF(D26="","",IF(D26&lt;=14,"Sí","No"))</f>
        <v/>
      </c>
      <c r="F26" s="25" t="n"/>
      <c r="G26" s="25" t="n"/>
      <c r="H26" s="16" t="n"/>
      <c r="I26" s="16" t="n"/>
      <c r="J26" s="25" t="n"/>
    </row>
    <row r="27">
      <c r="A27" s="25" t="n"/>
      <c r="B27" s="31">
        <f>IF(A27="","",IFERROR(INDEX(Pedidos!$Y$2:$Y$301,MATCH(A27,Pedidos!$A$2:$A$301,0)),""))</f>
        <v/>
      </c>
      <c r="C27" s="26" t="n"/>
      <c r="D27" s="15">
        <f>IF(OR(B27="",C27="",B27=0),"",C27-B27)</f>
        <v/>
      </c>
      <c r="E27" s="15">
        <f>IF(D27="","",IF(D27&lt;=14,"Sí","No"))</f>
        <v/>
      </c>
      <c r="F27" s="25" t="n"/>
      <c r="G27" s="25" t="n"/>
      <c r="H27" s="16" t="n"/>
      <c r="I27" s="16" t="n"/>
      <c r="J27" s="25" t="n"/>
    </row>
    <row r="28">
      <c r="A28" s="25" t="n"/>
      <c r="B28" s="31">
        <f>IF(A28="","",IFERROR(INDEX(Pedidos!$Y$2:$Y$301,MATCH(A28,Pedidos!$A$2:$A$301,0)),""))</f>
        <v/>
      </c>
      <c r="C28" s="26" t="n"/>
      <c r="D28" s="15">
        <f>IF(OR(B28="",C28="",B28=0),"",C28-B28)</f>
        <v/>
      </c>
      <c r="E28" s="15">
        <f>IF(D28="","",IF(D28&lt;=14,"Sí","No"))</f>
        <v/>
      </c>
      <c r="F28" s="25" t="n"/>
      <c r="G28" s="25" t="n"/>
      <c r="H28" s="16" t="n"/>
      <c r="I28" s="16" t="n"/>
      <c r="J28" s="25" t="n"/>
    </row>
    <row r="29">
      <c r="A29" s="25" t="n"/>
      <c r="B29" s="31">
        <f>IF(A29="","",IFERROR(INDEX(Pedidos!$Y$2:$Y$301,MATCH(A29,Pedidos!$A$2:$A$301,0)),""))</f>
        <v/>
      </c>
      <c r="C29" s="26" t="n"/>
      <c r="D29" s="15">
        <f>IF(OR(B29="",C29="",B29=0),"",C29-B29)</f>
        <v/>
      </c>
      <c r="E29" s="15">
        <f>IF(D29="","",IF(D29&lt;=14,"Sí","No"))</f>
        <v/>
      </c>
      <c r="F29" s="25" t="n"/>
      <c r="G29" s="25" t="n"/>
      <c r="H29" s="16" t="n"/>
      <c r="I29" s="16" t="n"/>
      <c r="J29" s="25" t="n"/>
    </row>
    <row r="30">
      <c r="A30" s="25" t="n"/>
      <c r="B30" s="31">
        <f>IF(A30="","",IFERROR(INDEX(Pedidos!$Y$2:$Y$301,MATCH(A30,Pedidos!$A$2:$A$301,0)),""))</f>
        <v/>
      </c>
      <c r="C30" s="26" t="n"/>
      <c r="D30" s="15">
        <f>IF(OR(B30="",C30="",B30=0),"",C30-B30)</f>
        <v/>
      </c>
      <c r="E30" s="15">
        <f>IF(D30="","",IF(D30&lt;=14,"Sí","No"))</f>
        <v/>
      </c>
      <c r="F30" s="25" t="n"/>
      <c r="G30" s="25" t="n"/>
      <c r="H30" s="16" t="n"/>
      <c r="I30" s="16" t="n"/>
      <c r="J30" s="25" t="n"/>
    </row>
    <row r="31">
      <c r="A31" s="25" t="n"/>
      <c r="B31" s="31">
        <f>IF(A31="","",IFERROR(INDEX(Pedidos!$Y$2:$Y$301,MATCH(A31,Pedidos!$A$2:$A$301,0)),""))</f>
        <v/>
      </c>
      <c r="C31" s="26" t="n"/>
      <c r="D31" s="15">
        <f>IF(OR(B31="",C31="",B31=0),"",C31-B31)</f>
        <v/>
      </c>
      <c r="E31" s="15">
        <f>IF(D31="","",IF(D31&lt;=14,"Sí","No"))</f>
        <v/>
      </c>
      <c r="F31" s="25" t="n"/>
      <c r="G31" s="25" t="n"/>
      <c r="H31" s="16" t="n"/>
      <c r="I31" s="16" t="n"/>
      <c r="J31" s="25" t="n"/>
    </row>
    <row r="32">
      <c r="A32" s="25" t="n"/>
      <c r="B32" s="31">
        <f>IF(A32="","",IFERROR(INDEX(Pedidos!$Y$2:$Y$301,MATCH(A32,Pedidos!$A$2:$A$301,0)),""))</f>
        <v/>
      </c>
      <c r="C32" s="26" t="n"/>
      <c r="D32" s="15">
        <f>IF(OR(B32="",C32="",B32=0),"",C32-B32)</f>
        <v/>
      </c>
      <c r="E32" s="15">
        <f>IF(D32="","",IF(D32&lt;=14,"Sí","No"))</f>
        <v/>
      </c>
      <c r="F32" s="25" t="n"/>
      <c r="G32" s="25" t="n"/>
      <c r="H32" s="16" t="n"/>
      <c r="I32" s="16" t="n"/>
      <c r="J32" s="25" t="n"/>
    </row>
    <row r="33">
      <c r="A33" s="25" t="n"/>
      <c r="B33" s="31">
        <f>IF(A33="","",IFERROR(INDEX(Pedidos!$Y$2:$Y$301,MATCH(A33,Pedidos!$A$2:$A$301,0)),""))</f>
        <v/>
      </c>
      <c r="C33" s="26" t="n"/>
      <c r="D33" s="15">
        <f>IF(OR(B33="",C33="",B33=0),"",C33-B33)</f>
        <v/>
      </c>
      <c r="E33" s="15">
        <f>IF(D33="","",IF(D33&lt;=14,"Sí","No"))</f>
        <v/>
      </c>
      <c r="F33" s="25" t="n"/>
      <c r="G33" s="25" t="n"/>
      <c r="H33" s="16" t="n"/>
      <c r="I33" s="16" t="n"/>
      <c r="J33" s="25" t="n"/>
    </row>
    <row r="34">
      <c r="A34" s="25" t="n"/>
      <c r="B34" s="31">
        <f>IF(A34="","",IFERROR(INDEX(Pedidos!$Y$2:$Y$301,MATCH(A34,Pedidos!$A$2:$A$301,0)),""))</f>
        <v/>
      </c>
      <c r="C34" s="26" t="n"/>
      <c r="D34" s="15">
        <f>IF(OR(B34="",C34="",B34=0),"",C34-B34)</f>
        <v/>
      </c>
      <c r="E34" s="15">
        <f>IF(D34="","",IF(D34&lt;=14,"Sí","No"))</f>
        <v/>
      </c>
      <c r="F34" s="25" t="n"/>
      <c r="G34" s="25" t="n"/>
      <c r="H34" s="16" t="n"/>
      <c r="I34" s="16" t="n"/>
      <c r="J34" s="25" t="n"/>
    </row>
    <row r="35">
      <c r="A35" s="25" t="n"/>
      <c r="B35" s="31">
        <f>IF(A35="","",IFERROR(INDEX(Pedidos!$Y$2:$Y$301,MATCH(A35,Pedidos!$A$2:$A$301,0)),""))</f>
        <v/>
      </c>
      <c r="C35" s="26" t="n"/>
      <c r="D35" s="15">
        <f>IF(OR(B35="",C35="",B35=0),"",C35-B35)</f>
        <v/>
      </c>
      <c r="E35" s="15">
        <f>IF(D35="","",IF(D35&lt;=14,"Sí","No"))</f>
        <v/>
      </c>
      <c r="F35" s="25" t="n"/>
      <c r="G35" s="25" t="n"/>
      <c r="H35" s="16" t="n"/>
      <c r="I35" s="16" t="n"/>
      <c r="J35" s="25" t="n"/>
    </row>
    <row r="36">
      <c r="A36" s="25" t="n"/>
      <c r="B36" s="31">
        <f>IF(A36="","",IFERROR(INDEX(Pedidos!$Y$2:$Y$301,MATCH(A36,Pedidos!$A$2:$A$301,0)),""))</f>
        <v/>
      </c>
      <c r="C36" s="26" t="n"/>
      <c r="D36" s="15">
        <f>IF(OR(B36="",C36="",B36=0),"",C36-B36)</f>
        <v/>
      </c>
      <c r="E36" s="15">
        <f>IF(D36="","",IF(D36&lt;=14,"Sí","No"))</f>
        <v/>
      </c>
      <c r="F36" s="25" t="n"/>
      <c r="G36" s="25" t="n"/>
      <c r="H36" s="16" t="n"/>
      <c r="I36" s="16" t="n"/>
      <c r="J36" s="25" t="n"/>
    </row>
    <row r="37">
      <c r="A37" s="25" t="n"/>
      <c r="B37" s="31">
        <f>IF(A37="","",IFERROR(INDEX(Pedidos!$Y$2:$Y$301,MATCH(A37,Pedidos!$A$2:$A$301,0)),""))</f>
        <v/>
      </c>
      <c r="C37" s="26" t="n"/>
      <c r="D37" s="15">
        <f>IF(OR(B37="",C37="",B37=0),"",C37-B37)</f>
        <v/>
      </c>
      <c r="E37" s="15">
        <f>IF(D37="","",IF(D37&lt;=14,"Sí","No"))</f>
        <v/>
      </c>
      <c r="F37" s="25" t="n"/>
      <c r="G37" s="25" t="n"/>
      <c r="H37" s="16" t="n"/>
      <c r="I37" s="16" t="n"/>
      <c r="J37" s="25" t="n"/>
    </row>
    <row r="38">
      <c r="A38" s="25" t="n"/>
      <c r="B38" s="31">
        <f>IF(A38="","",IFERROR(INDEX(Pedidos!$Y$2:$Y$301,MATCH(A38,Pedidos!$A$2:$A$301,0)),""))</f>
        <v/>
      </c>
      <c r="C38" s="26" t="n"/>
      <c r="D38" s="15">
        <f>IF(OR(B38="",C38="",B38=0),"",C38-B38)</f>
        <v/>
      </c>
      <c r="E38" s="15">
        <f>IF(D38="","",IF(D38&lt;=14,"Sí","No"))</f>
        <v/>
      </c>
      <c r="F38" s="25" t="n"/>
      <c r="G38" s="25" t="n"/>
      <c r="H38" s="16" t="n"/>
      <c r="I38" s="16" t="n"/>
      <c r="J38" s="25" t="n"/>
    </row>
    <row r="39">
      <c r="A39" s="25" t="n"/>
      <c r="B39" s="31">
        <f>IF(A39="","",IFERROR(INDEX(Pedidos!$Y$2:$Y$301,MATCH(A39,Pedidos!$A$2:$A$301,0)),""))</f>
        <v/>
      </c>
      <c r="C39" s="26" t="n"/>
      <c r="D39" s="15">
        <f>IF(OR(B39="",C39="",B39=0),"",C39-B39)</f>
        <v/>
      </c>
      <c r="E39" s="15">
        <f>IF(D39="","",IF(D39&lt;=14,"Sí","No"))</f>
        <v/>
      </c>
      <c r="F39" s="25" t="n"/>
      <c r="G39" s="25" t="n"/>
      <c r="H39" s="16" t="n"/>
      <c r="I39" s="16" t="n"/>
      <c r="J39" s="25" t="n"/>
    </row>
    <row r="40">
      <c r="A40" s="25" t="n"/>
      <c r="B40" s="31">
        <f>IF(A40="","",IFERROR(INDEX(Pedidos!$Y$2:$Y$301,MATCH(A40,Pedidos!$A$2:$A$301,0)),""))</f>
        <v/>
      </c>
      <c r="C40" s="26" t="n"/>
      <c r="D40" s="15">
        <f>IF(OR(B40="",C40="",B40=0),"",C40-B40)</f>
        <v/>
      </c>
      <c r="E40" s="15">
        <f>IF(D40="","",IF(D40&lt;=14,"Sí","No"))</f>
        <v/>
      </c>
      <c r="F40" s="25" t="n"/>
      <c r="G40" s="25" t="n"/>
      <c r="H40" s="16" t="n"/>
      <c r="I40" s="16" t="n"/>
      <c r="J40" s="25" t="n"/>
    </row>
    <row r="41">
      <c r="A41" s="25" t="n"/>
      <c r="B41" s="31">
        <f>IF(A41="","",IFERROR(INDEX(Pedidos!$Y$2:$Y$301,MATCH(A41,Pedidos!$A$2:$A$301,0)),""))</f>
        <v/>
      </c>
      <c r="C41" s="26" t="n"/>
      <c r="D41" s="15">
        <f>IF(OR(B41="",C41="",B41=0),"",C41-B41)</f>
        <v/>
      </c>
      <c r="E41" s="15">
        <f>IF(D41="","",IF(D41&lt;=14,"Sí","No"))</f>
        <v/>
      </c>
      <c r="F41" s="25" t="n"/>
      <c r="G41" s="25" t="n"/>
      <c r="H41" s="16" t="n"/>
      <c r="I41" s="16" t="n"/>
      <c r="J41" s="25" t="n"/>
    </row>
    <row r="42">
      <c r="A42" s="25" t="n"/>
      <c r="B42" s="31">
        <f>IF(A42="","",IFERROR(INDEX(Pedidos!$Y$2:$Y$301,MATCH(A42,Pedidos!$A$2:$A$301,0)),""))</f>
        <v/>
      </c>
      <c r="C42" s="26" t="n"/>
      <c r="D42" s="15">
        <f>IF(OR(B42="",C42="",B42=0),"",C42-B42)</f>
        <v/>
      </c>
      <c r="E42" s="15">
        <f>IF(D42="","",IF(D42&lt;=14,"Sí","No"))</f>
        <v/>
      </c>
      <c r="F42" s="25" t="n"/>
      <c r="G42" s="25" t="n"/>
      <c r="H42" s="16" t="n"/>
      <c r="I42" s="16" t="n"/>
      <c r="J42" s="25" t="n"/>
    </row>
    <row r="43">
      <c r="A43" s="25" t="n"/>
      <c r="B43" s="31">
        <f>IF(A43="","",IFERROR(INDEX(Pedidos!$Y$2:$Y$301,MATCH(A43,Pedidos!$A$2:$A$301,0)),""))</f>
        <v/>
      </c>
      <c r="C43" s="26" t="n"/>
      <c r="D43" s="15">
        <f>IF(OR(B43="",C43="",B43=0),"",C43-B43)</f>
        <v/>
      </c>
      <c r="E43" s="15">
        <f>IF(D43="","",IF(D43&lt;=14,"Sí","No"))</f>
        <v/>
      </c>
      <c r="F43" s="25" t="n"/>
      <c r="G43" s="25" t="n"/>
      <c r="H43" s="16" t="n"/>
      <c r="I43" s="16" t="n"/>
      <c r="J43" s="25" t="n"/>
    </row>
    <row r="44">
      <c r="A44" s="25" t="n"/>
      <c r="B44" s="31">
        <f>IF(A44="","",IFERROR(INDEX(Pedidos!$Y$2:$Y$301,MATCH(A44,Pedidos!$A$2:$A$301,0)),""))</f>
        <v/>
      </c>
      <c r="C44" s="26" t="n"/>
      <c r="D44" s="15">
        <f>IF(OR(B44="",C44="",B44=0),"",C44-B44)</f>
        <v/>
      </c>
      <c r="E44" s="15">
        <f>IF(D44="","",IF(D44&lt;=14,"Sí","No"))</f>
        <v/>
      </c>
      <c r="F44" s="25" t="n"/>
      <c r="G44" s="25" t="n"/>
      <c r="H44" s="16" t="n"/>
      <c r="I44" s="16" t="n"/>
      <c r="J44" s="25" t="n"/>
    </row>
    <row r="45">
      <c r="A45" s="25" t="n"/>
      <c r="B45" s="31">
        <f>IF(A45="","",IFERROR(INDEX(Pedidos!$Y$2:$Y$301,MATCH(A45,Pedidos!$A$2:$A$301,0)),""))</f>
        <v/>
      </c>
      <c r="C45" s="26" t="n"/>
      <c r="D45" s="15">
        <f>IF(OR(B45="",C45="",B45=0),"",C45-B45)</f>
        <v/>
      </c>
      <c r="E45" s="15">
        <f>IF(D45="","",IF(D45&lt;=14,"Sí","No"))</f>
        <v/>
      </c>
      <c r="F45" s="25" t="n"/>
      <c r="G45" s="25" t="n"/>
      <c r="H45" s="16" t="n"/>
      <c r="I45" s="16" t="n"/>
      <c r="J45" s="25" t="n"/>
    </row>
    <row r="46">
      <c r="A46" s="25" t="n"/>
      <c r="B46" s="31">
        <f>IF(A46="","",IFERROR(INDEX(Pedidos!$Y$2:$Y$301,MATCH(A46,Pedidos!$A$2:$A$301,0)),""))</f>
        <v/>
      </c>
      <c r="C46" s="26" t="n"/>
      <c r="D46" s="15">
        <f>IF(OR(B46="",C46="",B46=0),"",C46-B46)</f>
        <v/>
      </c>
      <c r="E46" s="15">
        <f>IF(D46="","",IF(D46&lt;=14,"Sí","No"))</f>
        <v/>
      </c>
      <c r="F46" s="25" t="n"/>
      <c r="G46" s="25" t="n"/>
      <c r="H46" s="16" t="n"/>
      <c r="I46" s="16" t="n"/>
      <c r="J46" s="25" t="n"/>
    </row>
    <row r="47">
      <c r="A47" s="25" t="n"/>
      <c r="B47" s="31">
        <f>IF(A47="","",IFERROR(INDEX(Pedidos!$Y$2:$Y$301,MATCH(A47,Pedidos!$A$2:$A$301,0)),""))</f>
        <v/>
      </c>
      <c r="C47" s="26" t="n"/>
      <c r="D47" s="15">
        <f>IF(OR(B47="",C47="",B47=0),"",C47-B47)</f>
        <v/>
      </c>
      <c r="E47" s="15">
        <f>IF(D47="","",IF(D47&lt;=14,"Sí","No"))</f>
        <v/>
      </c>
      <c r="F47" s="25" t="n"/>
      <c r="G47" s="25" t="n"/>
      <c r="H47" s="16" t="n"/>
      <c r="I47" s="16" t="n"/>
      <c r="J47" s="25" t="n"/>
    </row>
    <row r="48">
      <c r="A48" s="25" t="n"/>
      <c r="B48" s="31">
        <f>IF(A48="","",IFERROR(INDEX(Pedidos!$Y$2:$Y$301,MATCH(A48,Pedidos!$A$2:$A$301,0)),""))</f>
        <v/>
      </c>
      <c r="C48" s="26" t="n"/>
      <c r="D48" s="15">
        <f>IF(OR(B48="",C48="",B48=0),"",C48-B48)</f>
        <v/>
      </c>
      <c r="E48" s="15">
        <f>IF(D48="","",IF(D48&lt;=14,"Sí","No"))</f>
        <v/>
      </c>
      <c r="F48" s="25" t="n"/>
      <c r="G48" s="25" t="n"/>
      <c r="H48" s="16" t="n"/>
      <c r="I48" s="16" t="n"/>
      <c r="J48" s="25" t="n"/>
    </row>
    <row r="49">
      <c r="A49" s="25" t="n"/>
      <c r="B49" s="31">
        <f>IF(A49="","",IFERROR(INDEX(Pedidos!$Y$2:$Y$301,MATCH(A49,Pedidos!$A$2:$A$301,0)),""))</f>
        <v/>
      </c>
      <c r="C49" s="26" t="n"/>
      <c r="D49" s="15">
        <f>IF(OR(B49="",C49="",B49=0),"",C49-B49)</f>
        <v/>
      </c>
      <c r="E49" s="15">
        <f>IF(D49="","",IF(D49&lt;=14,"Sí","No"))</f>
        <v/>
      </c>
      <c r="F49" s="25" t="n"/>
      <c r="G49" s="25" t="n"/>
      <c r="H49" s="16" t="n"/>
      <c r="I49" s="16" t="n"/>
      <c r="J49" s="25" t="n"/>
    </row>
    <row r="50">
      <c r="A50" s="25" t="n"/>
      <c r="B50" s="31">
        <f>IF(A50="","",IFERROR(INDEX(Pedidos!$Y$2:$Y$301,MATCH(A50,Pedidos!$A$2:$A$301,0)),""))</f>
        <v/>
      </c>
      <c r="C50" s="26" t="n"/>
      <c r="D50" s="15">
        <f>IF(OR(B50="",C50="",B50=0),"",C50-B50)</f>
        <v/>
      </c>
      <c r="E50" s="15">
        <f>IF(D50="","",IF(D50&lt;=14,"Sí","No"))</f>
        <v/>
      </c>
      <c r="F50" s="25" t="n"/>
      <c r="G50" s="25" t="n"/>
      <c r="H50" s="16" t="n"/>
      <c r="I50" s="16" t="n"/>
      <c r="J50" s="25" t="n"/>
    </row>
    <row r="51">
      <c r="A51" s="25" t="n"/>
      <c r="B51" s="31">
        <f>IF(A51="","",IFERROR(INDEX(Pedidos!$Y$2:$Y$301,MATCH(A51,Pedidos!$A$2:$A$301,0)),""))</f>
        <v/>
      </c>
      <c r="C51" s="26" t="n"/>
      <c r="D51" s="15">
        <f>IF(OR(B51="",C51="",B51=0),"",C51-B51)</f>
        <v/>
      </c>
      <c r="E51" s="15">
        <f>IF(D51="","",IF(D51&lt;=14,"Sí","No"))</f>
        <v/>
      </c>
      <c r="F51" s="25" t="n"/>
      <c r="G51" s="25" t="n"/>
      <c r="H51" s="16" t="n"/>
      <c r="I51" s="16" t="n"/>
      <c r="J51" s="25" t="n"/>
    </row>
    <row r="52">
      <c r="A52" s="25" t="n"/>
      <c r="B52" s="31">
        <f>IF(A52="","",IFERROR(INDEX(Pedidos!$Y$2:$Y$301,MATCH(A52,Pedidos!$A$2:$A$301,0)),""))</f>
        <v/>
      </c>
      <c r="C52" s="26" t="n"/>
      <c r="D52" s="15">
        <f>IF(OR(B52="",C52="",B52=0),"",C52-B52)</f>
        <v/>
      </c>
      <c r="E52" s="15">
        <f>IF(D52="","",IF(D52&lt;=14,"Sí","No"))</f>
        <v/>
      </c>
      <c r="F52" s="25" t="n"/>
      <c r="G52" s="25" t="n"/>
      <c r="H52" s="16" t="n"/>
      <c r="I52" s="16" t="n"/>
      <c r="J52" s="25" t="n"/>
    </row>
    <row r="53">
      <c r="A53" s="25" t="n"/>
      <c r="B53" s="31">
        <f>IF(A53="","",IFERROR(INDEX(Pedidos!$Y$2:$Y$301,MATCH(A53,Pedidos!$A$2:$A$301,0)),""))</f>
        <v/>
      </c>
      <c r="C53" s="26" t="n"/>
      <c r="D53" s="15">
        <f>IF(OR(B53="",C53="",B53=0),"",C53-B53)</f>
        <v/>
      </c>
      <c r="E53" s="15">
        <f>IF(D53="","",IF(D53&lt;=14,"Sí","No"))</f>
        <v/>
      </c>
      <c r="F53" s="25" t="n"/>
      <c r="G53" s="25" t="n"/>
      <c r="H53" s="16" t="n"/>
      <c r="I53" s="16" t="n"/>
      <c r="J53" s="25" t="n"/>
    </row>
    <row r="54">
      <c r="A54" s="25" t="n"/>
      <c r="B54" s="31">
        <f>IF(A54="","",IFERROR(INDEX(Pedidos!$Y$2:$Y$301,MATCH(A54,Pedidos!$A$2:$A$301,0)),""))</f>
        <v/>
      </c>
      <c r="C54" s="26" t="n"/>
      <c r="D54" s="15">
        <f>IF(OR(B54="",C54="",B54=0),"",C54-B54)</f>
        <v/>
      </c>
      <c r="E54" s="15">
        <f>IF(D54="","",IF(D54&lt;=14,"Sí","No"))</f>
        <v/>
      </c>
      <c r="F54" s="25" t="n"/>
      <c r="G54" s="25" t="n"/>
      <c r="H54" s="16" t="n"/>
      <c r="I54" s="16" t="n"/>
      <c r="J54" s="25" t="n"/>
    </row>
    <row r="55">
      <c r="A55" s="25" t="n"/>
      <c r="B55" s="31">
        <f>IF(A55="","",IFERROR(INDEX(Pedidos!$Y$2:$Y$301,MATCH(A55,Pedidos!$A$2:$A$301,0)),""))</f>
        <v/>
      </c>
      <c r="C55" s="26" t="n"/>
      <c r="D55" s="15">
        <f>IF(OR(B55="",C55="",B55=0),"",C55-B55)</f>
        <v/>
      </c>
      <c r="E55" s="15">
        <f>IF(D55="","",IF(D55&lt;=14,"Sí","No"))</f>
        <v/>
      </c>
      <c r="F55" s="25" t="n"/>
      <c r="G55" s="25" t="n"/>
      <c r="H55" s="16" t="n"/>
      <c r="I55" s="16" t="n"/>
      <c r="J55" s="25" t="n"/>
    </row>
    <row r="56">
      <c r="A56" s="25" t="n"/>
      <c r="B56" s="31">
        <f>IF(A56="","",IFERROR(INDEX(Pedidos!$Y$2:$Y$301,MATCH(A56,Pedidos!$A$2:$A$301,0)),""))</f>
        <v/>
      </c>
      <c r="C56" s="26" t="n"/>
      <c r="D56" s="15">
        <f>IF(OR(B56="",C56="",B56=0),"",C56-B56)</f>
        <v/>
      </c>
      <c r="E56" s="15">
        <f>IF(D56="","",IF(D56&lt;=14,"Sí","No"))</f>
        <v/>
      </c>
      <c r="F56" s="25" t="n"/>
      <c r="G56" s="25" t="n"/>
      <c r="H56" s="16" t="n"/>
      <c r="I56" s="16" t="n"/>
      <c r="J56" s="25" t="n"/>
    </row>
    <row r="57">
      <c r="A57" s="25" t="n"/>
      <c r="B57" s="31">
        <f>IF(A57="","",IFERROR(INDEX(Pedidos!$Y$2:$Y$301,MATCH(A57,Pedidos!$A$2:$A$301,0)),""))</f>
        <v/>
      </c>
      <c r="C57" s="26" t="n"/>
      <c r="D57" s="15">
        <f>IF(OR(B57="",C57="",B57=0),"",C57-B57)</f>
        <v/>
      </c>
      <c r="E57" s="15">
        <f>IF(D57="","",IF(D57&lt;=14,"Sí","No"))</f>
        <v/>
      </c>
      <c r="F57" s="25" t="n"/>
      <c r="G57" s="25" t="n"/>
      <c r="H57" s="16" t="n"/>
      <c r="I57" s="16" t="n"/>
      <c r="J57" s="25" t="n"/>
    </row>
    <row r="58">
      <c r="A58" s="25" t="n"/>
      <c r="B58" s="31">
        <f>IF(A58="","",IFERROR(INDEX(Pedidos!$Y$2:$Y$301,MATCH(A58,Pedidos!$A$2:$A$301,0)),""))</f>
        <v/>
      </c>
      <c r="C58" s="26" t="n"/>
      <c r="D58" s="15">
        <f>IF(OR(B58="",C58="",B58=0),"",C58-B58)</f>
        <v/>
      </c>
      <c r="E58" s="15">
        <f>IF(D58="","",IF(D58&lt;=14,"Sí","No"))</f>
        <v/>
      </c>
      <c r="F58" s="25" t="n"/>
      <c r="G58" s="25" t="n"/>
      <c r="H58" s="16" t="n"/>
      <c r="I58" s="16" t="n"/>
      <c r="J58" s="25" t="n"/>
    </row>
    <row r="59">
      <c r="A59" s="25" t="n"/>
      <c r="B59" s="31">
        <f>IF(A59="","",IFERROR(INDEX(Pedidos!$Y$2:$Y$301,MATCH(A59,Pedidos!$A$2:$A$301,0)),""))</f>
        <v/>
      </c>
      <c r="C59" s="26" t="n"/>
      <c r="D59" s="15">
        <f>IF(OR(B59="",C59="",B59=0),"",C59-B59)</f>
        <v/>
      </c>
      <c r="E59" s="15">
        <f>IF(D59="","",IF(D59&lt;=14,"Sí","No"))</f>
        <v/>
      </c>
      <c r="F59" s="25" t="n"/>
      <c r="G59" s="25" t="n"/>
      <c r="H59" s="16" t="n"/>
      <c r="I59" s="16" t="n"/>
      <c r="J59" s="25" t="n"/>
    </row>
    <row r="60">
      <c r="A60" s="25" t="n"/>
      <c r="B60" s="31">
        <f>IF(A60="","",IFERROR(INDEX(Pedidos!$Y$2:$Y$301,MATCH(A60,Pedidos!$A$2:$A$301,0)),""))</f>
        <v/>
      </c>
      <c r="C60" s="26" t="n"/>
      <c r="D60" s="15">
        <f>IF(OR(B60="",C60="",B60=0),"",C60-B60)</f>
        <v/>
      </c>
      <c r="E60" s="15">
        <f>IF(D60="","",IF(D60&lt;=14,"Sí","No"))</f>
        <v/>
      </c>
      <c r="F60" s="25" t="n"/>
      <c r="G60" s="25" t="n"/>
      <c r="H60" s="16" t="n"/>
      <c r="I60" s="16" t="n"/>
      <c r="J60" s="25" t="n"/>
    </row>
    <row r="61">
      <c r="A61" s="25" t="n"/>
      <c r="B61" s="31">
        <f>IF(A61="","",IFERROR(INDEX(Pedidos!$Y$2:$Y$301,MATCH(A61,Pedidos!$A$2:$A$301,0)),""))</f>
        <v/>
      </c>
      <c r="C61" s="26" t="n"/>
      <c r="D61" s="15">
        <f>IF(OR(B61="",C61="",B61=0),"",C61-B61)</f>
        <v/>
      </c>
      <c r="E61" s="15">
        <f>IF(D61="","",IF(D61&lt;=14,"Sí","No"))</f>
        <v/>
      </c>
      <c r="F61" s="25" t="n"/>
      <c r="G61" s="25" t="n"/>
      <c r="H61" s="16" t="n"/>
      <c r="I61" s="16" t="n"/>
      <c r="J61" s="25" t="n"/>
    </row>
    <row r="62">
      <c r="A62" s="25" t="n"/>
      <c r="B62" s="31">
        <f>IF(A62="","",IFERROR(INDEX(Pedidos!$Y$2:$Y$301,MATCH(A62,Pedidos!$A$2:$A$301,0)),""))</f>
        <v/>
      </c>
      <c r="C62" s="26" t="n"/>
      <c r="D62" s="15">
        <f>IF(OR(B62="",C62="",B62=0),"",C62-B62)</f>
        <v/>
      </c>
      <c r="E62" s="15">
        <f>IF(D62="","",IF(D62&lt;=14,"Sí","No"))</f>
        <v/>
      </c>
      <c r="F62" s="25" t="n"/>
      <c r="G62" s="25" t="n"/>
      <c r="H62" s="16" t="n"/>
      <c r="I62" s="16" t="n"/>
      <c r="J62" s="25" t="n"/>
    </row>
    <row r="63">
      <c r="A63" s="25" t="n"/>
      <c r="B63" s="31">
        <f>IF(A63="","",IFERROR(INDEX(Pedidos!$Y$2:$Y$301,MATCH(A63,Pedidos!$A$2:$A$301,0)),""))</f>
        <v/>
      </c>
      <c r="C63" s="26" t="n"/>
      <c r="D63" s="15">
        <f>IF(OR(B63="",C63="",B63=0),"",C63-B63)</f>
        <v/>
      </c>
      <c r="E63" s="15">
        <f>IF(D63="","",IF(D63&lt;=14,"Sí","No"))</f>
        <v/>
      </c>
      <c r="F63" s="25" t="n"/>
      <c r="G63" s="25" t="n"/>
      <c r="H63" s="16" t="n"/>
      <c r="I63" s="16" t="n"/>
      <c r="J63" s="25" t="n"/>
    </row>
    <row r="64">
      <c r="A64" s="25" t="n"/>
      <c r="B64" s="31">
        <f>IF(A64="","",IFERROR(INDEX(Pedidos!$Y$2:$Y$301,MATCH(A64,Pedidos!$A$2:$A$301,0)),""))</f>
        <v/>
      </c>
      <c r="C64" s="26" t="n"/>
      <c r="D64" s="15">
        <f>IF(OR(B64="",C64="",B64=0),"",C64-B64)</f>
        <v/>
      </c>
      <c r="E64" s="15">
        <f>IF(D64="","",IF(D64&lt;=14,"Sí","No"))</f>
        <v/>
      </c>
      <c r="F64" s="25" t="n"/>
      <c r="G64" s="25" t="n"/>
      <c r="H64" s="16" t="n"/>
      <c r="I64" s="16" t="n"/>
      <c r="J64" s="25" t="n"/>
    </row>
    <row r="65">
      <c r="A65" s="25" t="n"/>
      <c r="B65" s="31">
        <f>IF(A65="","",IFERROR(INDEX(Pedidos!$Y$2:$Y$301,MATCH(A65,Pedidos!$A$2:$A$301,0)),""))</f>
        <v/>
      </c>
      <c r="C65" s="26" t="n"/>
      <c r="D65" s="15">
        <f>IF(OR(B65="",C65="",B65=0),"",C65-B65)</f>
        <v/>
      </c>
      <c r="E65" s="15">
        <f>IF(D65="","",IF(D65&lt;=14,"Sí","No"))</f>
        <v/>
      </c>
      <c r="F65" s="25" t="n"/>
      <c r="G65" s="25" t="n"/>
      <c r="H65" s="16" t="n"/>
      <c r="I65" s="16" t="n"/>
      <c r="J65" s="25" t="n"/>
    </row>
    <row r="66">
      <c r="A66" s="25" t="n"/>
      <c r="B66" s="31">
        <f>IF(A66="","",IFERROR(INDEX(Pedidos!$Y$2:$Y$301,MATCH(A66,Pedidos!$A$2:$A$301,0)),""))</f>
        <v/>
      </c>
      <c r="C66" s="26" t="n"/>
      <c r="D66" s="15">
        <f>IF(OR(B66="",C66="",B66=0),"",C66-B66)</f>
        <v/>
      </c>
      <c r="E66" s="15">
        <f>IF(D66="","",IF(D66&lt;=14,"Sí","No"))</f>
        <v/>
      </c>
      <c r="F66" s="25" t="n"/>
      <c r="G66" s="25" t="n"/>
      <c r="H66" s="16" t="n"/>
      <c r="I66" s="16" t="n"/>
      <c r="J66" s="25" t="n"/>
    </row>
    <row r="67">
      <c r="A67" s="25" t="n"/>
      <c r="B67" s="31">
        <f>IF(A67="","",IFERROR(INDEX(Pedidos!$Y$2:$Y$301,MATCH(A67,Pedidos!$A$2:$A$301,0)),""))</f>
        <v/>
      </c>
      <c r="C67" s="26" t="n"/>
      <c r="D67" s="15">
        <f>IF(OR(B67="",C67="",B67=0),"",C67-B67)</f>
        <v/>
      </c>
      <c r="E67" s="15">
        <f>IF(D67="","",IF(D67&lt;=14,"Sí","No"))</f>
        <v/>
      </c>
      <c r="F67" s="25" t="n"/>
      <c r="G67" s="25" t="n"/>
      <c r="H67" s="16" t="n"/>
      <c r="I67" s="16" t="n"/>
      <c r="J67" s="25" t="n"/>
    </row>
    <row r="68">
      <c r="A68" s="25" t="n"/>
      <c r="B68" s="31">
        <f>IF(A68="","",IFERROR(INDEX(Pedidos!$Y$2:$Y$301,MATCH(A68,Pedidos!$A$2:$A$301,0)),""))</f>
        <v/>
      </c>
      <c r="C68" s="26" t="n"/>
      <c r="D68" s="15">
        <f>IF(OR(B68="",C68="",B68=0),"",C68-B68)</f>
        <v/>
      </c>
      <c r="E68" s="15">
        <f>IF(D68="","",IF(D68&lt;=14,"Sí","No"))</f>
        <v/>
      </c>
      <c r="F68" s="25" t="n"/>
      <c r="G68" s="25" t="n"/>
      <c r="H68" s="16" t="n"/>
      <c r="I68" s="16" t="n"/>
      <c r="J68" s="25" t="n"/>
    </row>
    <row r="69">
      <c r="A69" s="25" t="n"/>
      <c r="B69" s="31">
        <f>IF(A69="","",IFERROR(INDEX(Pedidos!$Y$2:$Y$301,MATCH(A69,Pedidos!$A$2:$A$301,0)),""))</f>
        <v/>
      </c>
      <c r="C69" s="26" t="n"/>
      <c r="D69" s="15">
        <f>IF(OR(B69="",C69="",B69=0),"",C69-B69)</f>
        <v/>
      </c>
      <c r="E69" s="15">
        <f>IF(D69="","",IF(D69&lt;=14,"Sí","No"))</f>
        <v/>
      </c>
      <c r="F69" s="25" t="n"/>
      <c r="G69" s="25" t="n"/>
      <c r="H69" s="16" t="n"/>
      <c r="I69" s="16" t="n"/>
      <c r="J69" s="25" t="n"/>
    </row>
    <row r="70">
      <c r="A70" s="25" t="n"/>
      <c r="B70" s="31">
        <f>IF(A70="","",IFERROR(INDEX(Pedidos!$Y$2:$Y$301,MATCH(A70,Pedidos!$A$2:$A$301,0)),""))</f>
        <v/>
      </c>
      <c r="C70" s="26" t="n"/>
      <c r="D70" s="15">
        <f>IF(OR(B70="",C70="",B70=0),"",C70-B70)</f>
        <v/>
      </c>
      <c r="E70" s="15">
        <f>IF(D70="","",IF(D70&lt;=14,"Sí","No"))</f>
        <v/>
      </c>
      <c r="F70" s="25" t="n"/>
      <c r="G70" s="25" t="n"/>
      <c r="H70" s="16" t="n"/>
      <c r="I70" s="16" t="n"/>
      <c r="J70" s="25" t="n"/>
    </row>
    <row r="71">
      <c r="A71" s="25" t="n"/>
      <c r="B71" s="31">
        <f>IF(A71="","",IFERROR(INDEX(Pedidos!$Y$2:$Y$301,MATCH(A71,Pedidos!$A$2:$A$301,0)),""))</f>
        <v/>
      </c>
      <c r="C71" s="26" t="n"/>
      <c r="D71" s="15">
        <f>IF(OR(B71="",C71="",B71=0),"",C71-B71)</f>
        <v/>
      </c>
      <c r="E71" s="15">
        <f>IF(D71="","",IF(D71&lt;=14,"Sí","No"))</f>
        <v/>
      </c>
      <c r="F71" s="25" t="n"/>
      <c r="G71" s="25" t="n"/>
      <c r="H71" s="16" t="n"/>
      <c r="I71" s="16" t="n"/>
      <c r="J71" s="25" t="n"/>
    </row>
    <row r="72">
      <c r="A72" s="25" t="n"/>
      <c r="B72" s="31">
        <f>IF(A72="","",IFERROR(INDEX(Pedidos!$Y$2:$Y$301,MATCH(A72,Pedidos!$A$2:$A$301,0)),""))</f>
        <v/>
      </c>
      <c r="C72" s="26" t="n"/>
      <c r="D72" s="15">
        <f>IF(OR(B72="",C72="",B72=0),"",C72-B72)</f>
        <v/>
      </c>
      <c r="E72" s="15">
        <f>IF(D72="","",IF(D72&lt;=14,"Sí","No"))</f>
        <v/>
      </c>
      <c r="F72" s="25" t="n"/>
      <c r="G72" s="25" t="n"/>
      <c r="H72" s="16" t="n"/>
      <c r="I72" s="16" t="n"/>
      <c r="J72" s="25" t="n"/>
    </row>
    <row r="73">
      <c r="A73" s="25" t="n"/>
      <c r="B73" s="31">
        <f>IF(A73="","",IFERROR(INDEX(Pedidos!$Y$2:$Y$301,MATCH(A73,Pedidos!$A$2:$A$301,0)),""))</f>
        <v/>
      </c>
      <c r="C73" s="26" t="n"/>
      <c r="D73" s="15">
        <f>IF(OR(B73="",C73="",B73=0),"",C73-B73)</f>
        <v/>
      </c>
      <c r="E73" s="15">
        <f>IF(D73="","",IF(D73&lt;=14,"Sí","No"))</f>
        <v/>
      </c>
      <c r="F73" s="25" t="n"/>
      <c r="G73" s="25" t="n"/>
      <c r="H73" s="16" t="n"/>
      <c r="I73" s="16" t="n"/>
      <c r="J73" s="25" t="n"/>
    </row>
    <row r="74">
      <c r="A74" s="25" t="n"/>
      <c r="B74" s="31">
        <f>IF(A74="","",IFERROR(INDEX(Pedidos!$Y$2:$Y$301,MATCH(A74,Pedidos!$A$2:$A$301,0)),""))</f>
        <v/>
      </c>
      <c r="C74" s="26" t="n"/>
      <c r="D74" s="15">
        <f>IF(OR(B74="",C74="",B74=0),"",C74-B74)</f>
        <v/>
      </c>
      <c r="E74" s="15">
        <f>IF(D74="","",IF(D74&lt;=14,"Sí","No"))</f>
        <v/>
      </c>
      <c r="F74" s="25" t="n"/>
      <c r="G74" s="25" t="n"/>
      <c r="H74" s="16" t="n"/>
      <c r="I74" s="16" t="n"/>
      <c r="J74" s="25" t="n"/>
    </row>
    <row r="75">
      <c r="A75" s="25" t="n"/>
      <c r="B75" s="31">
        <f>IF(A75="","",IFERROR(INDEX(Pedidos!$Y$2:$Y$301,MATCH(A75,Pedidos!$A$2:$A$301,0)),""))</f>
        <v/>
      </c>
      <c r="C75" s="26" t="n"/>
      <c r="D75" s="15">
        <f>IF(OR(B75="",C75="",B75=0),"",C75-B75)</f>
        <v/>
      </c>
      <c r="E75" s="15">
        <f>IF(D75="","",IF(D75&lt;=14,"Sí","No"))</f>
        <v/>
      </c>
      <c r="F75" s="25" t="n"/>
      <c r="G75" s="25" t="n"/>
      <c r="H75" s="16" t="n"/>
      <c r="I75" s="16" t="n"/>
      <c r="J75" s="25" t="n"/>
    </row>
    <row r="76">
      <c r="A76" s="25" t="n"/>
      <c r="B76" s="31">
        <f>IF(A76="","",IFERROR(INDEX(Pedidos!$Y$2:$Y$301,MATCH(A76,Pedidos!$A$2:$A$301,0)),""))</f>
        <v/>
      </c>
      <c r="C76" s="26" t="n"/>
      <c r="D76" s="15">
        <f>IF(OR(B76="",C76="",B76=0),"",C76-B76)</f>
        <v/>
      </c>
      <c r="E76" s="15">
        <f>IF(D76="","",IF(D76&lt;=14,"Sí","No"))</f>
        <v/>
      </c>
      <c r="F76" s="25" t="n"/>
      <c r="G76" s="25" t="n"/>
      <c r="H76" s="16" t="n"/>
      <c r="I76" s="16" t="n"/>
      <c r="J76" s="25" t="n"/>
    </row>
    <row r="77">
      <c r="A77" s="25" t="n"/>
      <c r="B77" s="31">
        <f>IF(A77="","",IFERROR(INDEX(Pedidos!$Y$2:$Y$301,MATCH(A77,Pedidos!$A$2:$A$301,0)),""))</f>
        <v/>
      </c>
      <c r="C77" s="26" t="n"/>
      <c r="D77" s="15">
        <f>IF(OR(B77="",C77="",B77=0),"",C77-B77)</f>
        <v/>
      </c>
      <c r="E77" s="15">
        <f>IF(D77="","",IF(D77&lt;=14,"Sí","No"))</f>
        <v/>
      </c>
      <c r="F77" s="25" t="n"/>
      <c r="G77" s="25" t="n"/>
      <c r="H77" s="16" t="n"/>
      <c r="I77" s="16" t="n"/>
      <c r="J77" s="25" t="n"/>
    </row>
    <row r="78">
      <c r="A78" s="25" t="n"/>
      <c r="B78" s="31">
        <f>IF(A78="","",IFERROR(INDEX(Pedidos!$Y$2:$Y$301,MATCH(A78,Pedidos!$A$2:$A$301,0)),""))</f>
        <v/>
      </c>
      <c r="C78" s="26" t="n"/>
      <c r="D78" s="15">
        <f>IF(OR(B78="",C78="",B78=0),"",C78-B78)</f>
        <v/>
      </c>
      <c r="E78" s="15">
        <f>IF(D78="","",IF(D78&lt;=14,"Sí","No"))</f>
        <v/>
      </c>
      <c r="F78" s="25" t="n"/>
      <c r="G78" s="25" t="n"/>
      <c r="H78" s="16" t="n"/>
      <c r="I78" s="16" t="n"/>
      <c r="J78" s="25" t="n"/>
    </row>
    <row r="79">
      <c r="A79" s="25" t="n"/>
      <c r="B79" s="31">
        <f>IF(A79="","",IFERROR(INDEX(Pedidos!$Y$2:$Y$301,MATCH(A79,Pedidos!$A$2:$A$301,0)),""))</f>
        <v/>
      </c>
      <c r="C79" s="26" t="n"/>
      <c r="D79" s="15">
        <f>IF(OR(B79="",C79="",B79=0),"",C79-B79)</f>
        <v/>
      </c>
      <c r="E79" s="15">
        <f>IF(D79="","",IF(D79&lt;=14,"Sí","No"))</f>
        <v/>
      </c>
      <c r="F79" s="25" t="n"/>
      <c r="G79" s="25" t="n"/>
      <c r="H79" s="16" t="n"/>
      <c r="I79" s="16" t="n"/>
      <c r="J79" s="25" t="n"/>
    </row>
    <row r="80">
      <c r="A80" s="25" t="n"/>
      <c r="B80" s="31">
        <f>IF(A80="","",IFERROR(INDEX(Pedidos!$Y$2:$Y$301,MATCH(A80,Pedidos!$A$2:$A$301,0)),""))</f>
        <v/>
      </c>
      <c r="C80" s="26" t="n"/>
      <c r="D80" s="15">
        <f>IF(OR(B80="",C80="",B80=0),"",C80-B80)</f>
        <v/>
      </c>
      <c r="E80" s="15">
        <f>IF(D80="","",IF(D80&lt;=14,"Sí","No"))</f>
        <v/>
      </c>
      <c r="F80" s="25" t="n"/>
      <c r="G80" s="25" t="n"/>
      <c r="H80" s="16" t="n"/>
      <c r="I80" s="16" t="n"/>
      <c r="J80" s="25" t="n"/>
    </row>
    <row r="81">
      <c r="A81" s="25" t="n"/>
      <c r="B81" s="31">
        <f>IF(A81="","",IFERROR(INDEX(Pedidos!$Y$2:$Y$301,MATCH(A81,Pedidos!$A$2:$A$301,0)),""))</f>
        <v/>
      </c>
      <c r="C81" s="26" t="n"/>
      <c r="D81" s="15">
        <f>IF(OR(B81="",C81="",B81=0),"",C81-B81)</f>
        <v/>
      </c>
      <c r="E81" s="15">
        <f>IF(D81="","",IF(D81&lt;=14,"Sí","No"))</f>
        <v/>
      </c>
      <c r="F81" s="25" t="n"/>
      <c r="G81" s="25" t="n"/>
      <c r="H81" s="16" t="n"/>
      <c r="I81" s="16" t="n"/>
      <c r="J81" s="25" t="n"/>
    </row>
    <row r="82">
      <c r="A82" s="25" t="n"/>
      <c r="B82" s="31">
        <f>IF(A82="","",IFERROR(INDEX(Pedidos!$Y$2:$Y$301,MATCH(A82,Pedidos!$A$2:$A$301,0)),""))</f>
        <v/>
      </c>
      <c r="C82" s="26" t="n"/>
      <c r="D82" s="15">
        <f>IF(OR(B82="",C82="",B82=0),"",C82-B82)</f>
        <v/>
      </c>
      <c r="E82" s="15">
        <f>IF(D82="","",IF(D82&lt;=14,"Sí","No"))</f>
        <v/>
      </c>
      <c r="F82" s="25" t="n"/>
      <c r="G82" s="25" t="n"/>
      <c r="H82" s="16" t="n"/>
      <c r="I82" s="16" t="n"/>
      <c r="J82" s="25" t="n"/>
    </row>
    <row r="83">
      <c r="A83" s="25" t="n"/>
      <c r="B83" s="31">
        <f>IF(A83="","",IFERROR(INDEX(Pedidos!$Y$2:$Y$301,MATCH(A83,Pedidos!$A$2:$A$301,0)),""))</f>
        <v/>
      </c>
      <c r="C83" s="26" t="n"/>
      <c r="D83" s="15">
        <f>IF(OR(B83="",C83="",B83=0),"",C83-B83)</f>
        <v/>
      </c>
      <c r="E83" s="15">
        <f>IF(D83="","",IF(D83&lt;=14,"Sí","No"))</f>
        <v/>
      </c>
      <c r="F83" s="25" t="n"/>
      <c r="G83" s="25" t="n"/>
      <c r="H83" s="16" t="n"/>
      <c r="I83" s="16" t="n"/>
      <c r="J83" s="25" t="n"/>
    </row>
    <row r="84">
      <c r="A84" s="25" t="n"/>
      <c r="B84" s="31">
        <f>IF(A84="","",IFERROR(INDEX(Pedidos!$Y$2:$Y$301,MATCH(A84,Pedidos!$A$2:$A$301,0)),""))</f>
        <v/>
      </c>
      <c r="C84" s="26" t="n"/>
      <c r="D84" s="15">
        <f>IF(OR(B84="",C84="",B84=0),"",C84-B84)</f>
        <v/>
      </c>
      <c r="E84" s="15">
        <f>IF(D84="","",IF(D84&lt;=14,"Sí","No"))</f>
        <v/>
      </c>
      <c r="F84" s="25" t="n"/>
      <c r="G84" s="25" t="n"/>
      <c r="H84" s="16" t="n"/>
      <c r="I84" s="16" t="n"/>
      <c r="J84" s="25" t="n"/>
    </row>
    <row r="85">
      <c r="A85" s="25" t="n"/>
      <c r="B85" s="31">
        <f>IF(A85="","",IFERROR(INDEX(Pedidos!$Y$2:$Y$301,MATCH(A85,Pedidos!$A$2:$A$301,0)),""))</f>
        <v/>
      </c>
      <c r="C85" s="26" t="n"/>
      <c r="D85" s="15">
        <f>IF(OR(B85="",C85="",B85=0),"",C85-B85)</f>
        <v/>
      </c>
      <c r="E85" s="15">
        <f>IF(D85="","",IF(D85&lt;=14,"Sí","No"))</f>
        <v/>
      </c>
      <c r="F85" s="25" t="n"/>
      <c r="G85" s="25" t="n"/>
      <c r="H85" s="16" t="n"/>
      <c r="I85" s="16" t="n"/>
      <c r="J85" s="25" t="n"/>
    </row>
    <row r="86">
      <c r="A86" s="25" t="n"/>
      <c r="B86" s="31">
        <f>IF(A86="","",IFERROR(INDEX(Pedidos!$Y$2:$Y$301,MATCH(A86,Pedidos!$A$2:$A$301,0)),""))</f>
        <v/>
      </c>
      <c r="C86" s="26" t="n"/>
      <c r="D86" s="15">
        <f>IF(OR(B86="",C86="",B86=0),"",C86-B86)</f>
        <v/>
      </c>
      <c r="E86" s="15">
        <f>IF(D86="","",IF(D86&lt;=14,"Sí","No"))</f>
        <v/>
      </c>
      <c r="F86" s="25" t="n"/>
      <c r="G86" s="25" t="n"/>
      <c r="H86" s="16" t="n"/>
      <c r="I86" s="16" t="n"/>
      <c r="J86" s="25" t="n"/>
    </row>
    <row r="87">
      <c r="A87" s="25" t="n"/>
      <c r="B87" s="31">
        <f>IF(A87="","",IFERROR(INDEX(Pedidos!$Y$2:$Y$301,MATCH(A87,Pedidos!$A$2:$A$301,0)),""))</f>
        <v/>
      </c>
      <c r="C87" s="26" t="n"/>
      <c r="D87" s="15">
        <f>IF(OR(B87="",C87="",B87=0),"",C87-B87)</f>
        <v/>
      </c>
      <c r="E87" s="15">
        <f>IF(D87="","",IF(D87&lt;=14,"Sí","No"))</f>
        <v/>
      </c>
      <c r="F87" s="25" t="n"/>
      <c r="G87" s="25" t="n"/>
      <c r="H87" s="16" t="n"/>
      <c r="I87" s="16" t="n"/>
      <c r="J87" s="25" t="n"/>
    </row>
    <row r="88">
      <c r="A88" s="25" t="n"/>
      <c r="B88" s="31">
        <f>IF(A88="","",IFERROR(INDEX(Pedidos!$Y$2:$Y$301,MATCH(A88,Pedidos!$A$2:$A$301,0)),""))</f>
        <v/>
      </c>
      <c r="C88" s="26" t="n"/>
      <c r="D88" s="15">
        <f>IF(OR(B88="",C88="",B88=0),"",C88-B88)</f>
        <v/>
      </c>
      <c r="E88" s="15">
        <f>IF(D88="","",IF(D88&lt;=14,"Sí","No"))</f>
        <v/>
      </c>
      <c r="F88" s="25" t="n"/>
      <c r="G88" s="25" t="n"/>
      <c r="H88" s="16" t="n"/>
      <c r="I88" s="16" t="n"/>
      <c r="J88" s="25" t="n"/>
    </row>
    <row r="89">
      <c r="A89" s="25" t="n"/>
      <c r="B89" s="31">
        <f>IF(A89="","",IFERROR(INDEX(Pedidos!$Y$2:$Y$301,MATCH(A89,Pedidos!$A$2:$A$301,0)),""))</f>
        <v/>
      </c>
      <c r="C89" s="26" t="n"/>
      <c r="D89" s="15">
        <f>IF(OR(B89="",C89="",B89=0),"",C89-B89)</f>
        <v/>
      </c>
      <c r="E89" s="15">
        <f>IF(D89="","",IF(D89&lt;=14,"Sí","No"))</f>
        <v/>
      </c>
      <c r="F89" s="25" t="n"/>
      <c r="G89" s="25" t="n"/>
      <c r="H89" s="16" t="n"/>
      <c r="I89" s="16" t="n"/>
      <c r="J89" s="25" t="n"/>
    </row>
    <row r="90">
      <c r="A90" s="25" t="n"/>
      <c r="B90" s="31">
        <f>IF(A90="","",IFERROR(INDEX(Pedidos!$Y$2:$Y$301,MATCH(A90,Pedidos!$A$2:$A$301,0)),""))</f>
        <v/>
      </c>
      <c r="C90" s="26" t="n"/>
      <c r="D90" s="15">
        <f>IF(OR(B90="",C90="",B90=0),"",C90-B90)</f>
        <v/>
      </c>
      <c r="E90" s="15">
        <f>IF(D90="","",IF(D90&lt;=14,"Sí","No"))</f>
        <v/>
      </c>
      <c r="F90" s="25" t="n"/>
      <c r="G90" s="25" t="n"/>
      <c r="H90" s="16" t="n"/>
      <c r="I90" s="16" t="n"/>
      <c r="J90" s="25" t="n"/>
    </row>
    <row r="91">
      <c r="A91" s="25" t="n"/>
      <c r="B91" s="31">
        <f>IF(A91="","",IFERROR(INDEX(Pedidos!$Y$2:$Y$301,MATCH(A91,Pedidos!$A$2:$A$301,0)),""))</f>
        <v/>
      </c>
      <c r="C91" s="26" t="n"/>
      <c r="D91" s="15">
        <f>IF(OR(B91="",C91="",B91=0),"",C91-B91)</f>
        <v/>
      </c>
      <c r="E91" s="15">
        <f>IF(D91="","",IF(D91&lt;=14,"Sí","No"))</f>
        <v/>
      </c>
      <c r="F91" s="25" t="n"/>
      <c r="G91" s="25" t="n"/>
      <c r="H91" s="16" t="n"/>
      <c r="I91" s="16" t="n"/>
      <c r="J91" s="25" t="n"/>
    </row>
    <row r="92">
      <c r="A92" s="25" t="n"/>
      <c r="B92" s="31">
        <f>IF(A92="","",IFERROR(INDEX(Pedidos!$Y$2:$Y$301,MATCH(A92,Pedidos!$A$2:$A$301,0)),""))</f>
        <v/>
      </c>
      <c r="C92" s="26" t="n"/>
      <c r="D92" s="15">
        <f>IF(OR(B92="",C92="",B92=0),"",C92-B92)</f>
        <v/>
      </c>
      <c r="E92" s="15">
        <f>IF(D92="","",IF(D92&lt;=14,"Sí","No"))</f>
        <v/>
      </c>
      <c r="F92" s="25" t="n"/>
      <c r="G92" s="25" t="n"/>
      <c r="H92" s="16" t="n"/>
      <c r="I92" s="16" t="n"/>
      <c r="J92" s="25" t="n"/>
    </row>
    <row r="93">
      <c r="A93" s="25" t="n"/>
      <c r="B93" s="31">
        <f>IF(A93="","",IFERROR(INDEX(Pedidos!$Y$2:$Y$301,MATCH(A93,Pedidos!$A$2:$A$301,0)),""))</f>
        <v/>
      </c>
      <c r="C93" s="26" t="n"/>
      <c r="D93" s="15">
        <f>IF(OR(B93="",C93="",B93=0),"",C93-B93)</f>
        <v/>
      </c>
      <c r="E93" s="15">
        <f>IF(D93="","",IF(D93&lt;=14,"Sí","No"))</f>
        <v/>
      </c>
      <c r="F93" s="25" t="n"/>
      <c r="G93" s="25" t="n"/>
      <c r="H93" s="16" t="n"/>
      <c r="I93" s="16" t="n"/>
      <c r="J93" s="25" t="n"/>
    </row>
    <row r="94">
      <c r="A94" s="25" t="n"/>
      <c r="B94" s="31">
        <f>IF(A94="","",IFERROR(INDEX(Pedidos!$Y$2:$Y$301,MATCH(A94,Pedidos!$A$2:$A$301,0)),""))</f>
        <v/>
      </c>
      <c r="C94" s="26" t="n"/>
      <c r="D94" s="15">
        <f>IF(OR(B94="",C94="",B94=0),"",C94-B94)</f>
        <v/>
      </c>
      <c r="E94" s="15">
        <f>IF(D94="","",IF(D94&lt;=14,"Sí","No"))</f>
        <v/>
      </c>
      <c r="F94" s="25" t="n"/>
      <c r="G94" s="25" t="n"/>
      <c r="H94" s="16" t="n"/>
      <c r="I94" s="16" t="n"/>
      <c r="J94" s="25" t="n"/>
    </row>
    <row r="95">
      <c r="A95" s="25" t="n"/>
      <c r="B95" s="31">
        <f>IF(A95="","",IFERROR(INDEX(Pedidos!$Y$2:$Y$301,MATCH(A95,Pedidos!$A$2:$A$301,0)),""))</f>
        <v/>
      </c>
      <c r="C95" s="26" t="n"/>
      <c r="D95" s="15">
        <f>IF(OR(B95="",C95="",B95=0),"",C95-B95)</f>
        <v/>
      </c>
      <c r="E95" s="15">
        <f>IF(D95="","",IF(D95&lt;=14,"Sí","No"))</f>
        <v/>
      </c>
      <c r="F95" s="25" t="n"/>
      <c r="G95" s="25" t="n"/>
      <c r="H95" s="16" t="n"/>
      <c r="I95" s="16" t="n"/>
      <c r="J95" s="25" t="n"/>
    </row>
    <row r="96">
      <c r="A96" s="25" t="n"/>
      <c r="B96" s="31">
        <f>IF(A96="","",IFERROR(INDEX(Pedidos!$Y$2:$Y$301,MATCH(A96,Pedidos!$A$2:$A$301,0)),""))</f>
        <v/>
      </c>
      <c r="C96" s="26" t="n"/>
      <c r="D96" s="15">
        <f>IF(OR(B96="",C96="",B96=0),"",C96-B96)</f>
        <v/>
      </c>
      <c r="E96" s="15">
        <f>IF(D96="","",IF(D96&lt;=14,"Sí","No"))</f>
        <v/>
      </c>
      <c r="F96" s="25" t="n"/>
      <c r="G96" s="25" t="n"/>
      <c r="H96" s="16" t="n"/>
      <c r="I96" s="16" t="n"/>
      <c r="J96" s="25" t="n"/>
    </row>
    <row r="97">
      <c r="A97" s="25" t="n"/>
      <c r="B97" s="31">
        <f>IF(A97="","",IFERROR(INDEX(Pedidos!$Y$2:$Y$301,MATCH(A97,Pedidos!$A$2:$A$301,0)),""))</f>
        <v/>
      </c>
      <c r="C97" s="26" t="n"/>
      <c r="D97" s="15">
        <f>IF(OR(B97="",C97="",B97=0),"",C97-B97)</f>
        <v/>
      </c>
      <c r="E97" s="15">
        <f>IF(D97="","",IF(D97&lt;=14,"Sí","No"))</f>
        <v/>
      </c>
      <c r="F97" s="25" t="n"/>
      <c r="G97" s="25" t="n"/>
      <c r="H97" s="16" t="n"/>
      <c r="I97" s="16" t="n"/>
      <c r="J97" s="25" t="n"/>
    </row>
    <row r="98">
      <c r="A98" s="25" t="n"/>
      <c r="B98" s="31">
        <f>IF(A98="","",IFERROR(INDEX(Pedidos!$Y$2:$Y$301,MATCH(A98,Pedidos!$A$2:$A$301,0)),""))</f>
        <v/>
      </c>
      <c r="C98" s="26" t="n"/>
      <c r="D98" s="15">
        <f>IF(OR(B98="",C98="",B98=0),"",C98-B98)</f>
        <v/>
      </c>
      <c r="E98" s="15">
        <f>IF(D98="","",IF(D98&lt;=14,"Sí","No"))</f>
        <v/>
      </c>
      <c r="F98" s="25" t="n"/>
      <c r="G98" s="25" t="n"/>
      <c r="H98" s="16" t="n"/>
      <c r="I98" s="16" t="n"/>
      <c r="J98" s="25" t="n"/>
    </row>
    <row r="99">
      <c r="A99" s="25" t="n"/>
      <c r="B99" s="31">
        <f>IF(A99="","",IFERROR(INDEX(Pedidos!$Y$2:$Y$301,MATCH(A99,Pedidos!$A$2:$A$301,0)),""))</f>
        <v/>
      </c>
      <c r="C99" s="26" t="n"/>
      <c r="D99" s="15">
        <f>IF(OR(B99="",C99="",B99=0),"",C99-B99)</f>
        <v/>
      </c>
      <c r="E99" s="15">
        <f>IF(D99="","",IF(D99&lt;=14,"Sí","No"))</f>
        <v/>
      </c>
      <c r="F99" s="25" t="n"/>
      <c r="G99" s="25" t="n"/>
      <c r="H99" s="16" t="n"/>
      <c r="I99" s="16" t="n"/>
      <c r="J99" s="25" t="n"/>
    </row>
    <row r="100">
      <c r="A100" s="25" t="n"/>
      <c r="B100" s="31">
        <f>IF(A100="","",IFERROR(INDEX(Pedidos!$Y$2:$Y$301,MATCH(A100,Pedidos!$A$2:$A$301,0)),""))</f>
        <v/>
      </c>
      <c r="C100" s="26" t="n"/>
      <c r="D100" s="15">
        <f>IF(OR(B100="",C100="",B100=0),"",C100-B100)</f>
        <v/>
      </c>
      <c r="E100" s="15">
        <f>IF(D100="","",IF(D100&lt;=14,"Sí","No"))</f>
        <v/>
      </c>
      <c r="F100" s="25" t="n"/>
      <c r="G100" s="25" t="n"/>
      <c r="H100" s="16" t="n"/>
      <c r="I100" s="16" t="n"/>
      <c r="J100" s="25" t="n"/>
    </row>
    <row r="101">
      <c r="A101" s="25" t="n"/>
      <c r="B101" s="31">
        <f>IF(A101="","",IFERROR(INDEX(Pedidos!$Y$2:$Y$301,MATCH(A101,Pedidos!$A$2:$A$301,0)),""))</f>
        <v/>
      </c>
      <c r="C101" s="26" t="n"/>
      <c r="D101" s="15">
        <f>IF(OR(B101="",C101="",B101=0),"",C101-B101)</f>
        <v/>
      </c>
      <c r="E101" s="15">
        <f>IF(D101="","",IF(D101&lt;=14,"Sí","No"))</f>
        <v/>
      </c>
      <c r="F101" s="25" t="n"/>
      <c r="G101" s="25" t="n"/>
      <c r="H101" s="16" t="n"/>
      <c r="I101" s="16" t="n"/>
      <c r="J101" s="25" t="n"/>
    </row>
    <row r="102">
      <c r="A102" s="25" t="n"/>
      <c r="B102" s="31">
        <f>IF(A102="","",IFERROR(INDEX(Pedidos!$Y$2:$Y$301,MATCH(A102,Pedidos!$A$2:$A$301,0)),""))</f>
        <v/>
      </c>
      <c r="C102" s="26" t="n"/>
      <c r="D102" s="15">
        <f>IF(OR(B102="",C102="",B102=0),"",C102-B102)</f>
        <v/>
      </c>
      <c r="E102" s="15">
        <f>IF(D102="","",IF(D102&lt;=14,"Sí","No"))</f>
        <v/>
      </c>
      <c r="F102" s="25" t="n"/>
      <c r="G102" s="25" t="n"/>
      <c r="H102" s="16" t="n"/>
      <c r="I102" s="16" t="n"/>
      <c r="J102" s="25" t="n"/>
    </row>
    <row r="103">
      <c r="A103" s="25" t="n"/>
      <c r="B103" s="31">
        <f>IF(A103="","",IFERROR(INDEX(Pedidos!$Y$2:$Y$301,MATCH(A103,Pedidos!$A$2:$A$301,0)),""))</f>
        <v/>
      </c>
      <c r="C103" s="26" t="n"/>
      <c r="D103" s="15">
        <f>IF(OR(B103="",C103="",B103=0),"",C103-B103)</f>
        <v/>
      </c>
      <c r="E103" s="15">
        <f>IF(D103="","",IF(D103&lt;=14,"Sí","No"))</f>
        <v/>
      </c>
      <c r="F103" s="25" t="n"/>
      <c r="G103" s="25" t="n"/>
      <c r="H103" s="16" t="n"/>
      <c r="I103" s="16" t="n"/>
      <c r="J103" s="25" t="n"/>
    </row>
    <row r="104">
      <c r="A104" s="25" t="n"/>
      <c r="B104" s="31">
        <f>IF(A104="","",IFERROR(INDEX(Pedidos!$Y$2:$Y$301,MATCH(A104,Pedidos!$A$2:$A$301,0)),""))</f>
        <v/>
      </c>
      <c r="C104" s="26" t="n"/>
      <c r="D104" s="15">
        <f>IF(OR(B104="",C104="",B104=0),"",C104-B104)</f>
        <v/>
      </c>
      <c r="E104" s="15">
        <f>IF(D104="","",IF(D104&lt;=14,"Sí","No"))</f>
        <v/>
      </c>
      <c r="F104" s="25" t="n"/>
      <c r="G104" s="25" t="n"/>
      <c r="H104" s="16" t="n"/>
      <c r="I104" s="16" t="n"/>
      <c r="J104" s="25" t="n"/>
    </row>
    <row r="105">
      <c r="A105" s="25" t="n"/>
      <c r="B105" s="31">
        <f>IF(A105="","",IFERROR(INDEX(Pedidos!$Y$2:$Y$301,MATCH(A105,Pedidos!$A$2:$A$301,0)),""))</f>
        <v/>
      </c>
      <c r="C105" s="26" t="n"/>
      <c r="D105" s="15">
        <f>IF(OR(B105="",C105="",B105=0),"",C105-B105)</f>
        <v/>
      </c>
      <c r="E105" s="15">
        <f>IF(D105="","",IF(D105&lt;=14,"Sí","No"))</f>
        <v/>
      </c>
      <c r="F105" s="25" t="n"/>
      <c r="G105" s="25" t="n"/>
      <c r="H105" s="16" t="n"/>
      <c r="I105" s="16" t="n"/>
      <c r="J105" s="25" t="n"/>
    </row>
    <row r="106">
      <c r="A106" s="25" t="n"/>
      <c r="B106" s="31">
        <f>IF(A106="","",IFERROR(INDEX(Pedidos!$Y$2:$Y$301,MATCH(A106,Pedidos!$A$2:$A$301,0)),""))</f>
        <v/>
      </c>
      <c r="C106" s="26" t="n"/>
      <c r="D106" s="15">
        <f>IF(OR(B106="",C106="",B106=0),"",C106-B106)</f>
        <v/>
      </c>
      <c r="E106" s="15">
        <f>IF(D106="","",IF(D106&lt;=14,"Sí","No"))</f>
        <v/>
      </c>
      <c r="F106" s="25" t="n"/>
      <c r="G106" s="25" t="n"/>
      <c r="H106" s="16" t="n"/>
      <c r="I106" s="16" t="n"/>
      <c r="J106" s="25" t="n"/>
    </row>
    <row r="107">
      <c r="A107" s="25" t="n"/>
      <c r="B107" s="31">
        <f>IF(A107="","",IFERROR(INDEX(Pedidos!$Y$2:$Y$301,MATCH(A107,Pedidos!$A$2:$A$301,0)),""))</f>
        <v/>
      </c>
      <c r="C107" s="26" t="n"/>
      <c r="D107" s="15">
        <f>IF(OR(B107="",C107="",B107=0),"",C107-B107)</f>
        <v/>
      </c>
      <c r="E107" s="15">
        <f>IF(D107="","",IF(D107&lt;=14,"Sí","No"))</f>
        <v/>
      </c>
      <c r="F107" s="25" t="n"/>
      <c r="G107" s="25" t="n"/>
      <c r="H107" s="16" t="n"/>
      <c r="I107" s="16" t="n"/>
      <c r="J107" s="25" t="n"/>
    </row>
    <row r="108">
      <c r="A108" s="25" t="n"/>
      <c r="B108" s="31">
        <f>IF(A108="","",IFERROR(INDEX(Pedidos!$Y$2:$Y$301,MATCH(A108,Pedidos!$A$2:$A$301,0)),""))</f>
        <v/>
      </c>
      <c r="C108" s="26" t="n"/>
      <c r="D108" s="15">
        <f>IF(OR(B108="",C108="",B108=0),"",C108-B108)</f>
        <v/>
      </c>
      <c r="E108" s="15">
        <f>IF(D108="","",IF(D108&lt;=14,"Sí","No"))</f>
        <v/>
      </c>
      <c r="F108" s="25" t="n"/>
      <c r="G108" s="25" t="n"/>
      <c r="H108" s="16" t="n"/>
      <c r="I108" s="16" t="n"/>
      <c r="J108" s="25" t="n"/>
    </row>
    <row r="109">
      <c r="A109" s="25" t="n"/>
      <c r="B109" s="31">
        <f>IF(A109="","",IFERROR(INDEX(Pedidos!$Y$2:$Y$301,MATCH(A109,Pedidos!$A$2:$A$301,0)),""))</f>
        <v/>
      </c>
      <c r="C109" s="26" t="n"/>
      <c r="D109" s="15">
        <f>IF(OR(B109="",C109="",B109=0),"",C109-B109)</f>
        <v/>
      </c>
      <c r="E109" s="15">
        <f>IF(D109="","",IF(D109&lt;=14,"Sí","No"))</f>
        <v/>
      </c>
      <c r="F109" s="25" t="n"/>
      <c r="G109" s="25" t="n"/>
      <c r="H109" s="16" t="n"/>
      <c r="I109" s="16" t="n"/>
      <c r="J109" s="25" t="n"/>
    </row>
    <row r="110">
      <c r="A110" s="25" t="n"/>
      <c r="B110" s="31">
        <f>IF(A110="","",IFERROR(INDEX(Pedidos!$Y$2:$Y$301,MATCH(A110,Pedidos!$A$2:$A$301,0)),""))</f>
        <v/>
      </c>
      <c r="C110" s="26" t="n"/>
      <c r="D110" s="15">
        <f>IF(OR(B110="",C110="",B110=0),"",C110-B110)</f>
        <v/>
      </c>
      <c r="E110" s="15">
        <f>IF(D110="","",IF(D110&lt;=14,"Sí","No"))</f>
        <v/>
      </c>
      <c r="F110" s="25" t="n"/>
      <c r="G110" s="25" t="n"/>
      <c r="H110" s="16" t="n"/>
      <c r="I110" s="16" t="n"/>
      <c r="J110" s="25" t="n"/>
    </row>
    <row r="111">
      <c r="A111" s="25" t="n"/>
      <c r="B111" s="31">
        <f>IF(A111="","",IFERROR(INDEX(Pedidos!$Y$2:$Y$301,MATCH(A111,Pedidos!$A$2:$A$301,0)),""))</f>
        <v/>
      </c>
      <c r="C111" s="26" t="n"/>
      <c r="D111" s="15">
        <f>IF(OR(B111="",C111="",B111=0),"",C111-B111)</f>
        <v/>
      </c>
      <c r="E111" s="15">
        <f>IF(D111="","",IF(D111&lt;=14,"Sí","No"))</f>
        <v/>
      </c>
      <c r="F111" s="25" t="n"/>
      <c r="G111" s="25" t="n"/>
      <c r="H111" s="16" t="n"/>
      <c r="I111" s="16" t="n"/>
      <c r="J111" s="25" t="n"/>
    </row>
    <row r="112">
      <c r="A112" s="25" t="n"/>
      <c r="B112" s="31">
        <f>IF(A112="","",IFERROR(INDEX(Pedidos!$Y$2:$Y$301,MATCH(A112,Pedidos!$A$2:$A$301,0)),""))</f>
        <v/>
      </c>
      <c r="C112" s="26" t="n"/>
      <c r="D112" s="15">
        <f>IF(OR(B112="",C112="",B112=0),"",C112-B112)</f>
        <v/>
      </c>
      <c r="E112" s="15">
        <f>IF(D112="","",IF(D112&lt;=14,"Sí","No"))</f>
        <v/>
      </c>
      <c r="F112" s="25" t="n"/>
      <c r="G112" s="25" t="n"/>
      <c r="H112" s="16" t="n"/>
      <c r="I112" s="16" t="n"/>
      <c r="J112" s="25" t="n"/>
    </row>
    <row r="113">
      <c r="A113" s="25" t="n"/>
      <c r="B113" s="31">
        <f>IF(A113="","",IFERROR(INDEX(Pedidos!$Y$2:$Y$301,MATCH(A113,Pedidos!$A$2:$A$301,0)),""))</f>
        <v/>
      </c>
      <c r="C113" s="26" t="n"/>
      <c r="D113" s="15">
        <f>IF(OR(B113="",C113="",B113=0),"",C113-B113)</f>
        <v/>
      </c>
      <c r="E113" s="15">
        <f>IF(D113="","",IF(D113&lt;=14,"Sí","No"))</f>
        <v/>
      </c>
      <c r="F113" s="25" t="n"/>
      <c r="G113" s="25" t="n"/>
      <c r="H113" s="16" t="n"/>
      <c r="I113" s="16" t="n"/>
      <c r="J113" s="25" t="n"/>
    </row>
    <row r="114">
      <c r="A114" s="25" t="n"/>
      <c r="B114" s="31">
        <f>IF(A114="","",IFERROR(INDEX(Pedidos!$Y$2:$Y$301,MATCH(A114,Pedidos!$A$2:$A$301,0)),""))</f>
        <v/>
      </c>
      <c r="C114" s="26" t="n"/>
      <c r="D114" s="15">
        <f>IF(OR(B114="",C114="",B114=0),"",C114-B114)</f>
        <v/>
      </c>
      <c r="E114" s="15">
        <f>IF(D114="","",IF(D114&lt;=14,"Sí","No"))</f>
        <v/>
      </c>
      <c r="F114" s="25" t="n"/>
      <c r="G114" s="25" t="n"/>
      <c r="H114" s="16" t="n"/>
      <c r="I114" s="16" t="n"/>
      <c r="J114" s="25" t="n"/>
    </row>
    <row r="115">
      <c r="A115" s="25" t="n"/>
      <c r="B115" s="31">
        <f>IF(A115="","",IFERROR(INDEX(Pedidos!$Y$2:$Y$301,MATCH(A115,Pedidos!$A$2:$A$301,0)),""))</f>
        <v/>
      </c>
      <c r="C115" s="26" t="n"/>
      <c r="D115" s="15">
        <f>IF(OR(B115="",C115="",B115=0),"",C115-B115)</f>
        <v/>
      </c>
      <c r="E115" s="15">
        <f>IF(D115="","",IF(D115&lt;=14,"Sí","No"))</f>
        <v/>
      </c>
      <c r="F115" s="25" t="n"/>
      <c r="G115" s="25" t="n"/>
      <c r="H115" s="16" t="n"/>
      <c r="I115" s="16" t="n"/>
      <c r="J115" s="25" t="n"/>
    </row>
    <row r="116">
      <c r="A116" s="25" t="n"/>
      <c r="B116" s="31">
        <f>IF(A116="","",IFERROR(INDEX(Pedidos!$Y$2:$Y$301,MATCH(A116,Pedidos!$A$2:$A$301,0)),""))</f>
        <v/>
      </c>
      <c r="C116" s="26" t="n"/>
      <c r="D116" s="15">
        <f>IF(OR(B116="",C116="",B116=0),"",C116-B116)</f>
        <v/>
      </c>
      <c r="E116" s="15">
        <f>IF(D116="","",IF(D116&lt;=14,"Sí","No"))</f>
        <v/>
      </c>
      <c r="F116" s="25" t="n"/>
      <c r="G116" s="25" t="n"/>
      <c r="H116" s="16" t="n"/>
      <c r="I116" s="16" t="n"/>
      <c r="J116" s="25" t="n"/>
    </row>
    <row r="117">
      <c r="A117" s="25" t="n"/>
      <c r="B117" s="31">
        <f>IF(A117="","",IFERROR(INDEX(Pedidos!$Y$2:$Y$301,MATCH(A117,Pedidos!$A$2:$A$301,0)),""))</f>
        <v/>
      </c>
      <c r="C117" s="26" t="n"/>
      <c r="D117" s="15">
        <f>IF(OR(B117="",C117="",B117=0),"",C117-B117)</f>
        <v/>
      </c>
      <c r="E117" s="15">
        <f>IF(D117="","",IF(D117&lt;=14,"Sí","No"))</f>
        <v/>
      </c>
      <c r="F117" s="25" t="n"/>
      <c r="G117" s="25" t="n"/>
      <c r="H117" s="16" t="n"/>
      <c r="I117" s="16" t="n"/>
      <c r="J117" s="25" t="n"/>
    </row>
    <row r="118">
      <c r="A118" s="25" t="n"/>
      <c r="B118" s="31">
        <f>IF(A118="","",IFERROR(INDEX(Pedidos!$Y$2:$Y$301,MATCH(A118,Pedidos!$A$2:$A$301,0)),""))</f>
        <v/>
      </c>
      <c r="C118" s="26" t="n"/>
      <c r="D118" s="15">
        <f>IF(OR(B118="",C118="",B118=0),"",C118-B118)</f>
        <v/>
      </c>
      <c r="E118" s="15">
        <f>IF(D118="","",IF(D118&lt;=14,"Sí","No"))</f>
        <v/>
      </c>
      <c r="F118" s="25" t="n"/>
      <c r="G118" s="25" t="n"/>
      <c r="H118" s="16" t="n"/>
      <c r="I118" s="16" t="n"/>
      <c r="J118" s="25" t="n"/>
    </row>
    <row r="119">
      <c r="A119" s="25" t="n"/>
      <c r="B119" s="31">
        <f>IF(A119="","",IFERROR(INDEX(Pedidos!$Y$2:$Y$301,MATCH(A119,Pedidos!$A$2:$A$301,0)),""))</f>
        <v/>
      </c>
      <c r="C119" s="26" t="n"/>
      <c r="D119" s="15">
        <f>IF(OR(B119="",C119="",B119=0),"",C119-B119)</f>
        <v/>
      </c>
      <c r="E119" s="15">
        <f>IF(D119="","",IF(D119&lt;=14,"Sí","No"))</f>
        <v/>
      </c>
      <c r="F119" s="25" t="n"/>
      <c r="G119" s="25" t="n"/>
      <c r="H119" s="16" t="n"/>
      <c r="I119" s="16" t="n"/>
      <c r="J119" s="25" t="n"/>
    </row>
    <row r="120">
      <c r="A120" s="25" t="n"/>
      <c r="B120" s="31">
        <f>IF(A120="","",IFERROR(INDEX(Pedidos!$Y$2:$Y$301,MATCH(A120,Pedidos!$A$2:$A$301,0)),""))</f>
        <v/>
      </c>
      <c r="C120" s="26" t="n"/>
      <c r="D120" s="15">
        <f>IF(OR(B120="",C120="",B120=0),"",C120-B120)</f>
        <v/>
      </c>
      <c r="E120" s="15">
        <f>IF(D120="","",IF(D120&lt;=14,"Sí","No"))</f>
        <v/>
      </c>
      <c r="F120" s="25" t="n"/>
      <c r="G120" s="25" t="n"/>
      <c r="H120" s="16" t="n"/>
      <c r="I120" s="16" t="n"/>
      <c r="J120" s="25" t="n"/>
    </row>
    <row r="121">
      <c r="A121" s="25" t="n"/>
      <c r="B121" s="31">
        <f>IF(A121="","",IFERROR(INDEX(Pedidos!$Y$2:$Y$301,MATCH(A121,Pedidos!$A$2:$A$301,0)),""))</f>
        <v/>
      </c>
      <c r="C121" s="26" t="n"/>
      <c r="D121" s="15">
        <f>IF(OR(B121="",C121="",B121=0),"",C121-B121)</f>
        <v/>
      </c>
      <c r="E121" s="15">
        <f>IF(D121="","",IF(D121&lt;=14,"Sí","No"))</f>
        <v/>
      </c>
      <c r="F121" s="25" t="n"/>
      <c r="G121" s="25" t="n"/>
      <c r="H121" s="16" t="n"/>
      <c r="I121" s="16" t="n"/>
      <c r="J121" s="25" t="n"/>
    </row>
    <row r="122">
      <c r="A122" s="25" t="n"/>
      <c r="B122" s="31">
        <f>IF(A122="","",IFERROR(INDEX(Pedidos!$Y$2:$Y$301,MATCH(A122,Pedidos!$A$2:$A$301,0)),""))</f>
        <v/>
      </c>
      <c r="C122" s="26" t="n"/>
      <c r="D122" s="15">
        <f>IF(OR(B122="",C122="",B122=0),"",C122-B122)</f>
        <v/>
      </c>
      <c r="E122" s="15">
        <f>IF(D122="","",IF(D122&lt;=14,"Sí","No"))</f>
        <v/>
      </c>
      <c r="F122" s="25" t="n"/>
      <c r="G122" s="25" t="n"/>
      <c r="H122" s="16" t="n"/>
      <c r="I122" s="16" t="n"/>
      <c r="J122" s="25" t="n"/>
    </row>
    <row r="123">
      <c r="A123" s="25" t="n"/>
      <c r="B123" s="31">
        <f>IF(A123="","",IFERROR(INDEX(Pedidos!$Y$2:$Y$301,MATCH(A123,Pedidos!$A$2:$A$301,0)),""))</f>
        <v/>
      </c>
      <c r="C123" s="26" t="n"/>
      <c r="D123" s="15">
        <f>IF(OR(B123="",C123="",B123=0),"",C123-B123)</f>
        <v/>
      </c>
      <c r="E123" s="15">
        <f>IF(D123="","",IF(D123&lt;=14,"Sí","No"))</f>
        <v/>
      </c>
      <c r="F123" s="25" t="n"/>
      <c r="G123" s="25" t="n"/>
      <c r="H123" s="16" t="n"/>
      <c r="I123" s="16" t="n"/>
      <c r="J123" s="25" t="n"/>
    </row>
    <row r="124">
      <c r="A124" s="25" t="n"/>
      <c r="B124" s="31">
        <f>IF(A124="","",IFERROR(INDEX(Pedidos!$Y$2:$Y$301,MATCH(A124,Pedidos!$A$2:$A$301,0)),""))</f>
        <v/>
      </c>
      <c r="C124" s="26" t="n"/>
      <c r="D124" s="15">
        <f>IF(OR(B124="",C124="",B124=0),"",C124-B124)</f>
        <v/>
      </c>
      <c r="E124" s="15">
        <f>IF(D124="","",IF(D124&lt;=14,"Sí","No"))</f>
        <v/>
      </c>
      <c r="F124" s="25" t="n"/>
      <c r="G124" s="25" t="n"/>
      <c r="H124" s="16" t="n"/>
      <c r="I124" s="16" t="n"/>
      <c r="J124" s="25" t="n"/>
    </row>
    <row r="125">
      <c r="A125" s="25" t="n"/>
      <c r="B125" s="31">
        <f>IF(A125="","",IFERROR(INDEX(Pedidos!$Y$2:$Y$301,MATCH(A125,Pedidos!$A$2:$A$301,0)),""))</f>
        <v/>
      </c>
      <c r="C125" s="26" t="n"/>
      <c r="D125" s="15">
        <f>IF(OR(B125="",C125="",B125=0),"",C125-B125)</f>
        <v/>
      </c>
      <c r="E125" s="15">
        <f>IF(D125="","",IF(D125&lt;=14,"Sí","No"))</f>
        <v/>
      </c>
      <c r="F125" s="25" t="n"/>
      <c r="G125" s="25" t="n"/>
      <c r="H125" s="16" t="n"/>
      <c r="I125" s="16" t="n"/>
      <c r="J125" s="25" t="n"/>
    </row>
    <row r="126">
      <c r="A126" s="25" t="n"/>
      <c r="B126" s="31">
        <f>IF(A126="","",IFERROR(INDEX(Pedidos!$Y$2:$Y$301,MATCH(A126,Pedidos!$A$2:$A$301,0)),""))</f>
        <v/>
      </c>
      <c r="C126" s="26" t="n"/>
      <c r="D126" s="15">
        <f>IF(OR(B126="",C126="",B126=0),"",C126-B126)</f>
        <v/>
      </c>
      <c r="E126" s="15">
        <f>IF(D126="","",IF(D126&lt;=14,"Sí","No"))</f>
        <v/>
      </c>
      <c r="F126" s="25" t="n"/>
      <c r="G126" s="25" t="n"/>
      <c r="H126" s="16" t="n"/>
      <c r="I126" s="16" t="n"/>
      <c r="J126" s="25" t="n"/>
    </row>
    <row r="127">
      <c r="A127" s="25" t="n"/>
      <c r="B127" s="31">
        <f>IF(A127="","",IFERROR(INDEX(Pedidos!$Y$2:$Y$301,MATCH(A127,Pedidos!$A$2:$A$301,0)),""))</f>
        <v/>
      </c>
      <c r="C127" s="26" t="n"/>
      <c r="D127" s="15">
        <f>IF(OR(B127="",C127="",B127=0),"",C127-B127)</f>
        <v/>
      </c>
      <c r="E127" s="15">
        <f>IF(D127="","",IF(D127&lt;=14,"Sí","No"))</f>
        <v/>
      </c>
      <c r="F127" s="25" t="n"/>
      <c r="G127" s="25" t="n"/>
      <c r="H127" s="16" t="n"/>
      <c r="I127" s="16" t="n"/>
      <c r="J127" s="25" t="n"/>
    </row>
    <row r="128">
      <c r="A128" s="25" t="n"/>
      <c r="B128" s="31">
        <f>IF(A128="","",IFERROR(INDEX(Pedidos!$Y$2:$Y$301,MATCH(A128,Pedidos!$A$2:$A$301,0)),""))</f>
        <v/>
      </c>
      <c r="C128" s="26" t="n"/>
      <c r="D128" s="15">
        <f>IF(OR(B128="",C128="",B128=0),"",C128-B128)</f>
        <v/>
      </c>
      <c r="E128" s="15">
        <f>IF(D128="","",IF(D128&lt;=14,"Sí","No"))</f>
        <v/>
      </c>
      <c r="F128" s="25" t="n"/>
      <c r="G128" s="25" t="n"/>
      <c r="H128" s="16" t="n"/>
      <c r="I128" s="16" t="n"/>
      <c r="J128" s="25" t="n"/>
    </row>
    <row r="129">
      <c r="A129" s="25" t="n"/>
      <c r="B129" s="31">
        <f>IF(A129="","",IFERROR(INDEX(Pedidos!$Y$2:$Y$301,MATCH(A129,Pedidos!$A$2:$A$301,0)),""))</f>
        <v/>
      </c>
      <c r="C129" s="26" t="n"/>
      <c r="D129" s="15">
        <f>IF(OR(B129="",C129="",B129=0),"",C129-B129)</f>
        <v/>
      </c>
      <c r="E129" s="15">
        <f>IF(D129="","",IF(D129&lt;=14,"Sí","No"))</f>
        <v/>
      </c>
      <c r="F129" s="25" t="n"/>
      <c r="G129" s="25" t="n"/>
      <c r="H129" s="16" t="n"/>
      <c r="I129" s="16" t="n"/>
      <c r="J129" s="25" t="n"/>
    </row>
    <row r="130">
      <c r="A130" s="25" t="n"/>
      <c r="B130" s="31">
        <f>IF(A130="","",IFERROR(INDEX(Pedidos!$Y$2:$Y$301,MATCH(A130,Pedidos!$A$2:$A$301,0)),""))</f>
        <v/>
      </c>
      <c r="C130" s="26" t="n"/>
      <c r="D130" s="15">
        <f>IF(OR(B130="",C130="",B130=0),"",C130-B130)</f>
        <v/>
      </c>
      <c r="E130" s="15">
        <f>IF(D130="","",IF(D130&lt;=14,"Sí","No"))</f>
        <v/>
      </c>
      <c r="F130" s="25" t="n"/>
      <c r="G130" s="25" t="n"/>
      <c r="H130" s="16" t="n"/>
      <c r="I130" s="16" t="n"/>
      <c r="J130" s="25" t="n"/>
    </row>
    <row r="131">
      <c r="A131" s="25" t="n"/>
      <c r="B131" s="31">
        <f>IF(A131="","",IFERROR(INDEX(Pedidos!$Y$2:$Y$301,MATCH(A131,Pedidos!$A$2:$A$301,0)),""))</f>
        <v/>
      </c>
      <c r="C131" s="26" t="n"/>
      <c r="D131" s="15">
        <f>IF(OR(B131="",C131="",B131=0),"",C131-B131)</f>
        <v/>
      </c>
      <c r="E131" s="15">
        <f>IF(D131="","",IF(D131&lt;=14,"Sí","No"))</f>
        <v/>
      </c>
      <c r="F131" s="25" t="n"/>
      <c r="G131" s="25" t="n"/>
      <c r="H131" s="16" t="n"/>
      <c r="I131" s="16" t="n"/>
      <c r="J131" s="25" t="n"/>
    </row>
    <row r="132">
      <c r="A132" s="25" t="n"/>
      <c r="B132" s="31">
        <f>IF(A132="","",IFERROR(INDEX(Pedidos!$Y$2:$Y$301,MATCH(A132,Pedidos!$A$2:$A$301,0)),""))</f>
        <v/>
      </c>
      <c r="C132" s="26" t="n"/>
      <c r="D132" s="15">
        <f>IF(OR(B132="",C132="",B132=0),"",C132-B132)</f>
        <v/>
      </c>
      <c r="E132" s="15">
        <f>IF(D132="","",IF(D132&lt;=14,"Sí","No"))</f>
        <v/>
      </c>
      <c r="F132" s="25" t="n"/>
      <c r="G132" s="25" t="n"/>
      <c r="H132" s="16" t="n"/>
      <c r="I132" s="16" t="n"/>
      <c r="J132" s="25" t="n"/>
    </row>
    <row r="133">
      <c r="A133" s="25" t="n"/>
      <c r="B133" s="31">
        <f>IF(A133="","",IFERROR(INDEX(Pedidos!$Y$2:$Y$301,MATCH(A133,Pedidos!$A$2:$A$301,0)),""))</f>
        <v/>
      </c>
      <c r="C133" s="26" t="n"/>
      <c r="D133" s="15">
        <f>IF(OR(B133="",C133="",B133=0),"",C133-B133)</f>
        <v/>
      </c>
      <c r="E133" s="15">
        <f>IF(D133="","",IF(D133&lt;=14,"Sí","No"))</f>
        <v/>
      </c>
      <c r="F133" s="25" t="n"/>
      <c r="G133" s="25" t="n"/>
      <c r="H133" s="16" t="n"/>
      <c r="I133" s="16" t="n"/>
      <c r="J133" s="25" t="n"/>
    </row>
    <row r="134">
      <c r="A134" s="25" t="n"/>
      <c r="B134" s="31">
        <f>IF(A134="","",IFERROR(INDEX(Pedidos!$Y$2:$Y$301,MATCH(A134,Pedidos!$A$2:$A$301,0)),""))</f>
        <v/>
      </c>
      <c r="C134" s="26" t="n"/>
      <c r="D134" s="15">
        <f>IF(OR(B134="",C134="",B134=0),"",C134-B134)</f>
        <v/>
      </c>
      <c r="E134" s="15">
        <f>IF(D134="","",IF(D134&lt;=14,"Sí","No"))</f>
        <v/>
      </c>
      <c r="F134" s="25" t="n"/>
      <c r="G134" s="25" t="n"/>
      <c r="H134" s="16" t="n"/>
      <c r="I134" s="16" t="n"/>
      <c r="J134" s="25" t="n"/>
    </row>
    <row r="135">
      <c r="A135" s="25" t="n"/>
      <c r="B135" s="31">
        <f>IF(A135="","",IFERROR(INDEX(Pedidos!$Y$2:$Y$301,MATCH(A135,Pedidos!$A$2:$A$301,0)),""))</f>
        <v/>
      </c>
      <c r="C135" s="26" t="n"/>
      <c r="D135" s="15">
        <f>IF(OR(B135="",C135="",B135=0),"",C135-B135)</f>
        <v/>
      </c>
      <c r="E135" s="15">
        <f>IF(D135="","",IF(D135&lt;=14,"Sí","No"))</f>
        <v/>
      </c>
      <c r="F135" s="25" t="n"/>
      <c r="G135" s="25" t="n"/>
      <c r="H135" s="16" t="n"/>
      <c r="I135" s="16" t="n"/>
      <c r="J135" s="25" t="n"/>
    </row>
    <row r="136">
      <c r="A136" s="25" t="n"/>
      <c r="B136" s="31">
        <f>IF(A136="","",IFERROR(INDEX(Pedidos!$Y$2:$Y$301,MATCH(A136,Pedidos!$A$2:$A$301,0)),""))</f>
        <v/>
      </c>
      <c r="C136" s="26" t="n"/>
      <c r="D136" s="15">
        <f>IF(OR(B136="",C136="",B136=0),"",C136-B136)</f>
        <v/>
      </c>
      <c r="E136" s="15">
        <f>IF(D136="","",IF(D136&lt;=14,"Sí","No"))</f>
        <v/>
      </c>
      <c r="F136" s="25" t="n"/>
      <c r="G136" s="25" t="n"/>
      <c r="H136" s="16" t="n"/>
      <c r="I136" s="16" t="n"/>
      <c r="J136" s="25" t="n"/>
    </row>
    <row r="137">
      <c r="A137" s="25" t="n"/>
      <c r="B137" s="31">
        <f>IF(A137="","",IFERROR(INDEX(Pedidos!$Y$2:$Y$301,MATCH(A137,Pedidos!$A$2:$A$301,0)),""))</f>
        <v/>
      </c>
      <c r="C137" s="26" t="n"/>
      <c r="D137" s="15">
        <f>IF(OR(B137="",C137="",B137=0),"",C137-B137)</f>
        <v/>
      </c>
      <c r="E137" s="15">
        <f>IF(D137="","",IF(D137&lt;=14,"Sí","No"))</f>
        <v/>
      </c>
      <c r="F137" s="25" t="n"/>
      <c r="G137" s="25" t="n"/>
      <c r="H137" s="16" t="n"/>
      <c r="I137" s="16" t="n"/>
      <c r="J137" s="25" t="n"/>
    </row>
    <row r="138">
      <c r="A138" s="25" t="n"/>
      <c r="B138" s="31">
        <f>IF(A138="","",IFERROR(INDEX(Pedidos!$Y$2:$Y$301,MATCH(A138,Pedidos!$A$2:$A$301,0)),""))</f>
        <v/>
      </c>
      <c r="C138" s="26" t="n"/>
      <c r="D138" s="15">
        <f>IF(OR(B138="",C138="",B138=0),"",C138-B138)</f>
        <v/>
      </c>
      <c r="E138" s="15">
        <f>IF(D138="","",IF(D138&lt;=14,"Sí","No"))</f>
        <v/>
      </c>
      <c r="F138" s="25" t="n"/>
      <c r="G138" s="25" t="n"/>
      <c r="H138" s="16" t="n"/>
      <c r="I138" s="16" t="n"/>
      <c r="J138" s="25" t="n"/>
    </row>
    <row r="139">
      <c r="A139" s="25" t="n"/>
      <c r="B139" s="31">
        <f>IF(A139="","",IFERROR(INDEX(Pedidos!$Y$2:$Y$301,MATCH(A139,Pedidos!$A$2:$A$301,0)),""))</f>
        <v/>
      </c>
      <c r="C139" s="26" t="n"/>
      <c r="D139" s="15">
        <f>IF(OR(B139="",C139="",B139=0),"",C139-B139)</f>
        <v/>
      </c>
      <c r="E139" s="15">
        <f>IF(D139="","",IF(D139&lt;=14,"Sí","No"))</f>
        <v/>
      </c>
      <c r="F139" s="25" t="n"/>
      <c r="G139" s="25" t="n"/>
      <c r="H139" s="16" t="n"/>
      <c r="I139" s="16" t="n"/>
      <c r="J139" s="25" t="n"/>
    </row>
    <row r="140">
      <c r="A140" s="25" t="n"/>
      <c r="B140" s="31">
        <f>IF(A140="","",IFERROR(INDEX(Pedidos!$Y$2:$Y$301,MATCH(A140,Pedidos!$A$2:$A$301,0)),""))</f>
        <v/>
      </c>
      <c r="C140" s="26" t="n"/>
      <c r="D140" s="15">
        <f>IF(OR(B140="",C140="",B140=0),"",C140-B140)</f>
        <v/>
      </c>
      <c r="E140" s="15">
        <f>IF(D140="","",IF(D140&lt;=14,"Sí","No"))</f>
        <v/>
      </c>
      <c r="F140" s="25" t="n"/>
      <c r="G140" s="25" t="n"/>
      <c r="H140" s="16" t="n"/>
      <c r="I140" s="16" t="n"/>
      <c r="J140" s="25" t="n"/>
    </row>
    <row r="141">
      <c r="A141" s="25" t="n"/>
      <c r="B141" s="31">
        <f>IF(A141="","",IFERROR(INDEX(Pedidos!$Y$2:$Y$301,MATCH(A141,Pedidos!$A$2:$A$301,0)),""))</f>
        <v/>
      </c>
      <c r="C141" s="26" t="n"/>
      <c r="D141" s="15">
        <f>IF(OR(B141="",C141="",B141=0),"",C141-B141)</f>
        <v/>
      </c>
      <c r="E141" s="15">
        <f>IF(D141="","",IF(D141&lt;=14,"Sí","No"))</f>
        <v/>
      </c>
      <c r="F141" s="25" t="n"/>
      <c r="G141" s="25" t="n"/>
      <c r="H141" s="16" t="n"/>
      <c r="I141" s="16" t="n"/>
      <c r="J141" s="25" t="n"/>
    </row>
    <row r="142">
      <c r="A142" s="25" t="n"/>
      <c r="B142" s="31">
        <f>IF(A142="","",IFERROR(INDEX(Pedidos!$Y$2:$Y$301,MATCH(A142,Pedidos!$A$2:$A$301,0)),""))</f>
        <v/>
      </c>
      <c r="C142" s="26" t="n"/>
      <c r="D142" s="15">
        <f>IF(OR(B142="",C142="",B142=0),"",C142-B142)</f>
        <v/>
      </c>
      <c r="E142" s="15">
        <f>IF(D142="","",IF(D142&lt;=14,"Sí","No"))</f>
        <v/>
      </c>
      <c r="F142" s="25" t="n"/>
      <c r="G142" s="25" t="n"/>
      <c r="H142" s="16" t="n"/>
      <c r="I142" s="16" t="n"/>
      <c r="J142" s="25" t="n"/>
    </row>
    <row r="143">
      <c r="A143" s="25" t="n"/>
      <c r="B143" s="31">
        <f>IF(A143="","",IFERROR(INDEX(Pedidos!$Y$2:$Y$301,MATCH(A143,Pedidos!$A$2:$A$301,0)),""))</f>
        <v/>
      </c>
      <c r="C143" s="26" t="n"/>
      <c r="D143" s="15">
        <f>IF(OR(B143="",C143="",B143=0),"",C143-B143)</f>
        <v/>
      </c>
      <c r="E143" s="15">
        <f>IF(D143="","",IF(D143&lt;=14,"Sí","No"))</f>
        <v/>
      </c>
      <c r="F143" s="25" t="n"/>
      <c r="G143" s="25" t="n"/>
      <c r="H143" s="16" t="n"/>
      <c r="I143" s="16" t="n"/>
      <c r="J143" s="25" t="n"/>
    </row>
    <row r="144">
      <c r="A144" s="25" t="n"/>
      <c r="B144" s="31">
        <f>IF(A144="","",IFERROR(INDEX(Pedidos!$Y$2:$Y$301,MATCH(A144,Pedidos!$A$2:$A$301,0)),""))</f>
        <v/>
      </c>
      <c r="C144" s="26" t="n"/>
      <c r="D144" s="15">
        <f>IF(OR(B144="",C144="",B144=0),"",C144-B144)</f>
        <v/>
      </c>
      <c r="E144" s="15">
        <f>IF(D144="","",IF(D144&lt;=14,"Sí","No"))</f>
        <v/>
      </c>
      <c r="F144" s="25" t="n"/>
      <c r="G144" s="25" t="n"/>
      <c r="H144" s="16" t="n"/>
      <c r="I144" s="16" t="n"/>
      <c r="J144" s="25" t="n"/>
    </row>
    <row r="145">
      <c r="A145" s="25" t="n"/>
      <c r="B145" s="31">
        <f>IF(A145="","",IFERROR(INDEX(Pedidos!$Y$2:$Y$301,MATCH(A145,Pedidos!$A$2:$A$301,0)),""))</f>
        <v/>
      </c>
      <c r="C145" s="26" t="n"/>
      <c r="D145" s="15">
        <f>IF(OR(B145="",C145="",B145=0),"",C145-B145)</f>
        <v/>
      </c>
      <c r="E145" s="15">
        <f>IF(D145="","",IF(D145&lt;=14,"Sí","No"))</f>
        <v/>
      </c>
      <c r="F145" s="25" t="n"/>
      <c r="G145" s="25" t="n"/>
      <c r="H145" s="16" t="n"/>
      <c r="I145" s="16" t="n"/>
      <c r="J145" s="25" t="n"/>
    </row>
    <row r="146">
      <c r="A146" s="25" t="n"/>
      <c r="B146" s="31">
        <f>IF(A146="","",IFERROR(INDEX(Pedidos!$Y$2:$Y$301,MATCH(A146,Pedidos!$A$2:$A$301,0)),""))</f>
        <v/>
      </c>
      <c r="C146" s="26" t="n"/>
      <c r="D146" s="15">
        <f>IF(OR(B146="",C146="",B146=0),"",C146-B146)</f>
        <v/>
      </c>
      <c r="E146" s="15">
        <f>IF(D146="","",IF(D146&lt;=14,"Sí","No"))</f>
        <v/>
      </c>
      <c r="F146" s="25" t="n"/>
      <c r="G146" s="25" t="n"/>
      <c r="H146" s="16" t="n"/>
      <c r="I146" s="16" t="n"/>
      <c r="J146" s="25" t="n"/>
    </row>
    <row r="147">
      <c r="A147" s="25" t="n"/>
      <c r="B147" s="31">
        <f>IF(A147="","",IFERROR(INDEX(Pedidos!$Y$2:$Y$301,MATCH(A147,Pedidos!$A$2:$A$301,0)),""))</f>
        <v/>
      </c>
      <c r="C147" s="26" t="n"/>
      <c r="D147" s="15">
        <f>IF(OR(B147="",C147="",B147=0),"",C147-B147)</f>
        <v/>
      </c>
      <c r="E147" s="15">
        <f>IF(D147="","",IF(D147&lt;=14,"Sí","No"))</f>
        <v/>
      </c>
      <c r="F147" s="25" t="n"/>
      <c r="G147" s="25" t="n"/>
      <c r="H147" s="16" t="n"/>
      <c r="I147" s="16" t="n"/>
      <c r="J147" s="25" t="n"/>
    </row>
    <row r="148">
      <c r="A148" s="25" t="n"/>
      <c r="B148" s="31">
        <f>IF(A148="","",IFERROR(INDEX(Pedidos!$Y$2:$Y$301,MATCH(A148,Pedidos!$A$2:$A$301,0)),""))</f>
        <v/>
      </c>
      <c r="C148" s="26" t="n"/>
      <c r="D148" s="15">
        <f>IF(OR(B148="",C148="",B148=0),"",C148-B148)</f>
        <v/>
      </c>
      <c r="E148" s="15">
        <f>IF(D148="","",IF(D148&lt;=14,"Sí","No"))</f>
        <v/>
      </c>
      <c r="F148" s="25" t="n"/>
      <c r="G148" s="25" t="n"/>
      <c r="H148" s="16" t="n"/>
      <c r="I148" s="16" t="n"/>
      <c r="J148" s="25" t="n"/>
    </row>
    <row r="149">
      <c r="A149" s="25" t="n"/>
      <c r="B149" s="31">
        <f>IF(A149="","",IFERROR(INDEX(Pedidos!$Y$2:$Y$301,MATCH(A149,Pedidos!$A$2:$A$301,0)),""))</f>
        <v/>
      </c>
      <c r="C149" s="26" t="n"/>
      <c r="D149" s="15">
        <f>IF(OR(B149="",C149="",B149=0),"",C149-B149)</f>
        <v/>
      </c>
      <c r="E149" s="15">
        <f>IF(D149="","",IF(D149&lt;=14,"Sí","No"))</f>
        <v/>
      </c>
      <c r="F149" s="25" t="n"/>
      <c r="G149" s="25" t="n"/>
      <c r="H149" s="16" t="n"/>
      <c r="I149" s="16" t="n"/>
      <c r="J149" s="25" t="n"/>
    </row>
    <row r="150">
      <c r="A150" s="25" t="n"/>
      <c r="B150" s="31">
        <f>IF(A150="","",IFERROR(INDEX(Pedidos!$Y$2:$Y$301,MATCH(A150,Pedidos!$A$2:$A$301,0)),""))</f>
        <v/>
      </c>
      <c r="C150" s="26" t="n"/>
      <c r="D150" s="15">
        <f>IF(OR(B150="",C150="",B150=0),"",C150-B150)</f>
        <v/>
      </c>
      <c r="E150" s="15">
        <f>IF(D150="","",IF(D150&lt;=14,"Sí","No"))</f>
        <v/>
      </c>
      <c r="F150" s="25" t="n"/>
      <c r="G150" s="25" t="n"/>
      <c r="H150" s="16" t="n"/>
      <c r="I150" s="16" t="n"/>
      <c r="J150" s="25" t="n"/>
    </row>
    <row r="151">
      <c r="A151" s="25" t="n"/>
      <c r="B151" s="31">
        <f>IF(A151="","",IFERROR(INDEX(Pedidos!$Y$2:$Y$301,MATCH(A151,Pedidos!$A$2:$A$301,0)),""))</f>
        <v/>
      </c>
      <c r="C151" s="26" t="n"/>
      <c r="D151" s="15">
        <f>IF(OR(B151="",C151="",B151=0),"",C151-B151)</f>
        <v/>
      </c>
      <c r="E151" s="15">
        <f>IF(D151="","",IF(D151&lt;=14,"Sí","No"))</f>
        <v/>
      </c>
      <c r="F151" s="25" t="n"/>
      <c r="G151" s="25" t="n"/>
      <c r="H151" s="16" t="n"/>
      <c r="I151" s="16" t="n"/>
      <c r="J151" s="25" t="n"/>
    </row>
    <row r="152">
      <c r="A152" s="25" t="n"/>
      <c r="B152" s="31">
        <f>IF(A152="","",IFERROR(INDEX(Pedidos!$Y$2:$Y$301,MATCH(A152,Pedidos!$A$2:$A$301,0)),""))</f>
        <v/>
      </c>
      <c r="C152" s="26" t="n"/>
      <c r="D152" s="15">
        <f>IF(OR(B152="",C152="",B152=0),"",C152-B152)</f>
        <v/>
      </c>
      <c r="E152" s="15">
        <f>IF(D152="","",IF(D152&lt;=14,"Sí","No"))</f>
        <v/>
      </c>
      <c r="F152" s="25" t="n"/>
      <c r="G152" s="25" t="n"/>
      <c r="H152" s="16" t="n"/>
      <c r="I152" s="16" t="n"/>
      <c r="J152" s="25" t="n"/>
    </row>
    <row r="153">
      <c r="A153" s="25" t="n"/>
      <c r="B153" s="31">
        <f>IF(A153="","",IFERROR(INDEX(Pedidos!$Y$2:$Y$301,MATCH(A153,Pedidos!$A$2:$A$301,0)),""))</f>
        <v/>
      </c>
      <c r="C153" s="26" t="n"/>
      <c r="D153" s="15">
        <f>IF(OR(B153="",C153="",B153=0),"",C153-B153)</f>
        <v/>
      </c>
      <c r="E153" s="15">
        <f>IF(D153="","",IF(D153&lt;=14,"Sí","No"))</f>
        <v/>
      </c>
      <c r="F153" s="25" t="n"/>
      <c r="G153" s="25" t="n"/>
      <c r="H153" s="16" t="n"/>
      <c r="I153" s="16" t="n"/>
      <c r="J153" s="25" t="n"/>
    </row>
    <row r="154">
      <c r="A154" s="25" t="n"/>
      <c r="B154" s="31">
        <f>IF(A154="","",IFERROR(INDEX(Pedidos!$Y$2:$Y$301,MATCH(A154,Pedidos!$A$2:$A$301,0)),""))</f>
        <v/>
      </c>
      <c r="C154" s="26" t="n"/>
      <c r="D154" s="15">
        <f>IF(OR(B154="",C154="",B154=0),"",C154-B154)</f>
        <v/>
      </c>
      <c r="E154" s="15">
        <f>IF(D154="","",IF(D154&lt;=14,"Sí","No"))</f>
        <v/>
      </c>
      <c r="F154" s="25" t="n"/>
      <c r="G154" s="25" t="n"/>
      <c r="H154" s="16" t="n"/>
      <c r="I154" s="16" t="n"/>
      <c r="J154" s="25" t="n"/>
    </row>
    <row r="155">
      <c r="A155" s="25" t="n"/>
      <c r="B155" s="31">
        <f>IF(A155="","",IFERROR(INDEX(Pedidos!$Y$2:$Y$301,MATCH(A155,Pedidos!$A$2:$A$301,0)),""))</f>
        <v/>
      </c>
      <c r="C155" s="26" t="n"/>
      <c r="D155" s="15">
        <f>IF(OR(B155="",C155="",B155=0),"",C155-B155)</f>
        <v/>
      </c>
      <c r="E155" s="15">
        <f>IF(D155="","",IF(D155&lt;=14,"Sí","No"))</f>
        <v/>
      </c>
      <c r="F155" s="25" t="n"/>
      <c r="G155" s="25" t="n"/>
      <c r="H155" s="16" t="n"/>
      <c r="I155" s="16" t="n"/>
      <c r="J155" s="25" t="n"/>
    </row>
    <row r="156">
      <c r="A156" s="25" t="n"/>
      <c r="B156" s="31">
        <f>IF(A156="","",IFERROR(INDEX(Pedidos!$Y$2:$Y$301,MATCH(A156,Pedidos!$A$2:$A$301,0)),""))</f>
        <v/>
      </c>
      <c r="C156" s="26" t="n"/>
      <c r="D156" s="15">
        <f>IF(OR(B156="",C156="",B156=0),"",C156-B156)</f>
        <v/>
      </c>
      <c r="E156" s="15">
        <f>IF(D156="","",IF(D156&lt;=14,"Sí","No"))</f>
        <v/>
      </c>
      <c r="F156" s="25" t="n"/>
      <c r="G156" s="25" t="n"/>
      <c r="H156" s="16" t="n"/>
      <c r="I156" s="16" t="n"/>
      <c r="J156" s="25" t="n"/>
    </row>
    <row r="157">
      <c r="A157" s="25" t="n"/>
      <c r="B157" s="31">
        <f>IF(A157="","",IFERROR(INDEX(Pedidos!$Y$2:$Y$301,MATCH(A157,Pedidos!$A$2:$A$301,0)),""))</f>
        <v/>
      </c>
      <c r="C157" s="26" t="n"/>
      <c r="D157" s="15">
        <f>IF(OR(B157="",C157="",B157=0),"",C157-B157)</f>
        <v/>
      </c>
      <c r="E157" s="15">
        <f>IF(D157="","",IF(D157&lt;=14,"Sí","No"))</f>
        <v/>
      </c>
      <c r="F157" s="25" t="n"/>
      <c r="G157" s="25" t="n"/>
      <c r="H157" s="16" t="n"/>
      <c r="I157" s="16" t="n"/>
      <c r="J157" s="25" t="n"/>
    </row>
    <row r="158">
      <c r="A158" s="25" t="n"/>
      <c r="B158" s="31">
        <f>IF(A158="","",IFERROR(INDEX(Pedidos!$Y$2:$Y$301,MATCH(A158,Pedidos!$A$2:$A$301,0)),""))</f>
        <v/>
      </c>
      <c r="C158" s="26" t="n"/>
      <c r="D158" s="15">
        <f>IF(OR(B158="",C158="",B158=0),"",C158-B158)</f>
        <v/>
      </c>
      <c r="E158" s="15">
        <f>IF(D158="","",IF(D158&lt;=14,"Sí","No"))</f>
        <v/>
      </c>
      <c r="F158" s="25" t="n"/>
      <c r="G158" s="25" t="n"/>
      <c r="H158" s="16" t="n"/>
      <c r="I158" s="16" t="n"/>
      <c r="J158" s="25" t="n"/>
    </row>
    <row r="159">
      <c r="A159" s="25" t="n"/>
      <c r="B159" s="31">
        <f>IF(A159="","",IFERROR(INDEX(Pedidos!$Y$2:$Y$301,MATCH(A159,Pedidos!$A$2:$A$301,0)),""))</f>
        <v/>
      </c>
      <c r="C159" s="26" t="n"/>
      <c r="D159" s="15">
        <f>IF(OR(B159="",C159="",B159=0),"",C159-B159)</f>
        <v/>
      </c>
      <c r="E159" s="15">
        <f>IF(D159="","",IF(D159&lt;=14,"Sí","No"))</f>
        <v/>
      </c>
      <c r="F159" s="25" t="n"/>
      <c r="G159" s="25" t="n"/>
      <c r="H159" s="16" t="n"/>
      <c r="I159" s="16" t="n"/>
      <c r="J159" s="25" t="n"/>
    </row>
    <row r="160">
      <c r="A160" s="25" t="n"/>
      <c r="B160" s="31">
        <f>IF(A160="","",IFERROR(INDEX(Pedidos!$Y$2:$Y$301,MATCH(A160,Pedidos!$A$2:$A$301,0)),""))</f>
        <v/>
      </c>
      <c r="C160" s="26" t="n"/>
      <c r="D160" s="15">
        <f>IF(OR(B160="",C160="",B160=0),"",C160-B160)</f>
        <v/>
      </c>
      <c r="E160" s="15">
        <f>IF(D160="","",IF(D160&lt;=14,"Sí","No"))</f>
        <v/>
      </c>
      <c r="F160" s="25" t="n"/>
      <c r="G160" s="25" t="n"/>
      <c r="H160" s="16" t="n"/>
      <c r="I160" s="16" t="n"/>
      <c r="J160" s="25" t="n"/>
    </row>
    <row r="161">
      <c r="A161" s="25" t="n"/>
      <c r="B161" s="31">
        <f>IF(A161="","",IFERROR(INDEX(Pedidos!$Y$2:$Y$301,MATCH(A161,Pedidos!$A$2:$A$301,0)),""))</f>
        <v/>
      </c>
      <c r="C161" s="26" t="n"/>
      <c r="D161" s="15">
        <f>IF(OR(B161="",C161="",B161=0),"",C161-B161)</f>
        <v/>
      </c>
      <c r="E161" s="15">
        <f>IF(D161="","",IF(D161&lt;=14,"Sí","No"))</f>
        <v/>
      </c>
      <c r="F161" s="25" t="n"/>
      <c r="G161" s="25" t="n"/>
      <c r="H161" s="16" t="n"/>
      <c r="I161" s="16" t="n"/>
      <c r="J161" s="25" t="n"/>
    </row>
    <row r="162">
      <c r="A162" s="25" t="n"/>
      <c r="B162" s="31">
        <f>IF(A162="","",IFERROR(INDEX(Pedidos!$Y$2:$Y$301,MATCH(A162,Pedidos!$A$2:$A$301,0)),""))</f>
        <v/>
      </c>
      <c r="C162" s="26" t="n"/>
      <c r="D162" s="15">
        <f>IF(OR(B162="",C162="",B162=0),"",C162-B162)</f>
        <v/>
      </c>
      <c r="E162" s="15">
        <f>IF(D162="","",IF(D162&lt;=14,"Sí","No"))</f>
        <v/>
      </c>
      <c r="F162" s="25" t="n"/>
      <c r="G162" s="25" t="n"/>
      <c r="H162" s="16" t="n"/>
      <c r="I162" s="16" t="n"/>
      <c r="J162" s="25" t="n"/>
    </row>
    <row r="163">
      <c r="A163" s="25" t="n"/>
      <c r="B163" s="31">
        <f>IF(A163="","",IFERROR(INDEX(Pedidos!$Y$2:$Y$301,MATCH(A163,Pedidos!$A$2:$A$301,0)),""))</f>
        <v/>
      </c>
      <c r="C163" s="26" t="n"/>
      <c r="D163" s="15">
        <f>IF(OR(B163="",C163="",B163=0),"",C163-B163)</f>
        <v/>
      </c>
      <c r="E163" s="15">
        <f>IF(D163="","",IF(D163&lt;=14,"Sí","No"))</f>
        <v/>
      </c>
      <c r="F163" s="25" t="n"/>
      <c r="G163" s="25" t="n"/>
      <c r="H163" s="16" t="n"/>
      <c r="I163" s="16" t="n"/>
      <c r="J163" s="25" t="n"/>
    </row>
    <row r="164">
      <c r="A164" s="25" t="n"/>
      <c r="B164" s="31">
        <f>IF(A164="","",IFERROR(INDEX(Pedidos!$Y$2:$Y$301,MATCH(A164,Pedidos!$A$2:$A$301,0)),""))</f>
        <v/>
      </c>
      <c r="C164" s="26" t="n"/>
      <c r="D164" s="15">
        <f>IF(OR(B164="",C164="",B164=0),"",C164-B164)</f>
        <v/>
      </c>
      <c r="E164" s="15">
        <f>IF(D164="","",IF(D164&lt;=14,"Sí","No"))</f>
        <v/>
      </c>
      <c r="F164" s="25" t="n"/>
      <c r="G164" s="25" t="n"/>
      <c r="H164" s="16" t="n"/>
      <c r="I164" s="16" t="n"/>
      <c r="J164" s="25" t="n"/>
    </row>
    <row r="165">
      <c r="A165" s="25" t="n"/>
      <c r="B165" s="31">
        <f>IF(A165="","",IFERROR(INDEX(Pedidos!$Y$2:$Y$301,MATCH(A165,Pedidos!$A$2:$A$301,0)),""))</f>
        <v/>
      </c>
      <c r="C165" s="26" t="n"/>
      <c r="D165" s="15">
        <f>IF(OR(B165="",C165="",B165=0),"",C165-B165)</f>
        <v/>
      </c>
      <c r="E165" s="15">
        <f>IF(D165="","",IF(D165&lt;=14,"Sí","No"))</f>
        <v/>
      </c>
      <c r="F165" s="25" t="n"/>
      <c r="G165" s="25" t="n"/>
      <c r="H165" s="16" t="n"/>
      <c r="I165" s="16" t="n"/>
      <c r="J165" s="25" t="n"/>
    </row>
    <row r="166">
      <c r="A166" s="25" t="n"/>
      <c r="B166" s="31">
        <f>IF(A166="","",IFERROR(INDEX(Pedidos!$Y$2:$Y$301,MATCH(A166,Pedidos!$A$2:$A$301,0)),""))</f>
        <v/>
      </c>
      <c r="C166" s="26" t="n"/>
      <c r="D166" s="15">
        <f>IF(OR(B166="",C166="",B166=0),"",C166-B166)</f>
        <v/>
      </c>
      <c r="E166" s="15">
        <f>IF(D166="","",IF(D166&lt;=14,"Sí","No"))</f>
        <v/>
      </c>
      <c r="F166" s="25" t="n"/>
      <c r="G166" s="25" t="n"/>
      <c r="H166" s="16" t="n"/>
      <c r="I166" s="16" t="n"/>
      <c r="J166" s="25" t="n"/>
    </row>
    <row r="167">
      <c r="A167" s="25" t="n"/>
      <c r="B167" s="31">
        <f>IF(A167="","",IFERROR(INDEX(Pedidos!$Y$2:$Y$301,MATCH(A167,Pedidos!$A$2:$A$301,0)),""))</f>
        <v/>
      </c>
      <c r="C167" s="26" t="n"/>
      <c r="D167" s="15">
        <f>IF(OR(B167="",C167="",B167=0),"",C167-B167)</f>
        <v/>
      </c>
      <c r="E167" s="15">
        <f>IF(D167="","",IF(D167&lt;=14,"Sí","No"))</f>
        <v/>
      </c>
      <c r="F167" s="25" t="n"/>
      <c r="G167" s="25" t="n"/>
      <c r="H167" s="16" t="n"/>
      <c r="I167" s="16" t="n"/>
      <c r="J167" s="25" t="n"/>
    </row>
    <row r="168">
      <c r="A168" s="25" t="n"/>
      <c r="B168" s="31">
        <f>IF(A168="","",IFERROR(INDEX(Pedidos!$Y$2:$Y$301,MATCH(A168,Pedidos!$A$2:$A$301,0)),""))</f>
        <v/>
      </c>
      <c r="C168" s="26" t="n"/>
      <c r="D168" s="15">
        <f>IF(OR(B168="",C168="",B168=0),"",C168-B168)</f>
        <v/>
      </c>
      <c r="E168" s="15">
        <f>IF(D168="","",IF(D168&lt;=14,"Sí","No"))</f>
        <v/>
      </c>
      <c r="F168" s="25" t="n"/>
      <c r="G168" s="25" t="n"/>
      <c r="H168" s="16" t="n"/>
      <c r="I168" s="16" t="n"/>
      <c r="J168" s="25" t="n"/>
    </row>
    <row r="169">
      <c r="A169" s="25" t="n"/>
      <c r="B169" s="31">
        <f>IF(A169="","",IFERROR(INDEX(Pedidos!$Y$2:$Y$301,MATCH(A169,Pedidos!$A$2:$A$301,0)),""))</f>
        <v/>
      </c>
      <c r="C169" s="26" t="n"/>
      <c r="D169" s="15">
        <f>IF(OR(B169="",C169="",B169=0),"",C169-B169)</f>
        <v/>
      </c>
      <c r="E169" s="15">
        <f>IF(D169="","",IF(D169&lt;=14,"Sí","No"))</f>
        <v/>
      </c>
      <c r="F169" s="25" t="n"/>
      <c r="G169" s="25" t="n"/>
      <c r="H169" s="16" t="n"/>
      <c r="I169" s="16" t="n"/>
      <c r="J169" s="25" t="n"/>
    </row>
    <row r="170">
      <c r="A170" s="25" t="n"/>
      <c r="B170" s="31">
        <f>IF(A170="","",IFERROR(INDEX(Pedidos!$Y$2:$Y$301,MATCH(A170,Pedidos!$A$2:$A$301,0)),""))</f>
        <v/>
      </c>
      <c r="C170" s="26" t="n"/>
      <c r="D170" s="15">
        <f>IF(OR(B170="",C170="",B170=0),"",C170-B170)</f>
        <v/>
      </c>
      <c r="E170" s="15">
        <f>IF(D170="","",IF(D170&lt;=14,"Sí","No"))</f>
        <v/>
      </c>
      <c r="F170" s="25" t="n"/>
      <c r="G170" s="25" t="n"/>
      <c r="H170" s="16" t="n"/>
      <c r="I170" s="16" t="n"/>
      <c r="J170" s="25" t="n"/>
    </row>
    <row r="171">
      <c r="A171" s="25" t="n"/>
      <c r="B171" s="31">
        <f>IF(A171="","",IFERROR(INDEX(Pedidos!$Y$2:$Y$301,MATCH(A171,Pedidos!$A$2:$A$301,0)),""))</f>
        <v/>
      </c>
      <c r="C171" s="26" t="n"/>
      <c r="D171" s="15">
        <f>IF(OR(B171="",C171="",B171=0),"",C171-B171)</f>
        <v/>
      </c>
      <c r="E171" s="15">
        <f>IF(D171="","",IF(D171&lt;=14,"Sí","No"))</f>
        <v/>
      </c>
      <c r="F171" s="25" t="n"/>
      <c r="G171" s="25" t="n"/>
      <c r="H171" s="16" t="n"/>
      <c r="I171" s="16" t="n"/>
      <c r="J171" s="25" t="n"/>
    </row>
    <row r="172">
      <c r="A172" s="25" t="n"/>
      <c r="B172" s="31">
        <f>IF(A172="","",IFERROR(INDEX(Pedidos!$Y$2:$Y$301,MATCH(A172,Pedidos!$A$2:$A$301,0)),""))</f>
        <v/>
      </c>
      <c r="C172" s="26" t="n"/>
      <c r="D172" s="15">
        <f>IF(OR(B172="",C172="",B172=0),"",C172-B172)</f>
        <v/>
      </c>
      <c r="E172" s="15">
        <f>IF(D172="","",IF(D172&lt;=14,"Sí","No"))</f>
        <v/>
      </c>
      <c r="F172" s="25" t="n"/>
      <c r="G172" s="25" t="n"/>
      <c r="H172" s="16" t="n"/>
      <c r="I172" s="16" t="n"/>
      <c r="J172" s="25" t="n"/>
    </row>
    <row r="173">
      <c r="A173" s="25" t="n"/>
      <c r="B173" s="31">
        <f>IF(A173="","",IFERROR(INDEX(Pedidos!$Y$2:$Y$301,MATCH(A173,Pedidos!$A$2:$A$301,0)),""))</f>
        <v/>
      </c>
      <c r="C173" s="26" t="n"/>
      <c r="D173" s="15">
        <f>IF(OR(B173="",C173="",B173=0),"",C173-B173)</f>
        <v/>
      </c>
      <c r="E173" s="15">
        <f>IF(D173="","",IF(D173&lt;=14,"Sí","No"))</f>
        <v/>
      </c>
      <c r="F173" s="25" t="n"/>
      <c r="G173" s="25" t="n"/>
      <c r="H173" s="16" t="n"/>
      <c r="I173" s="16" t="n"/>
      <c r="J173" s="25" t="n"/>
    </row>
    <row r="174">
      <c r="A174" s="25" t="n"/>
      <c r="B174" s="31">
        <f>IF(A174="","",IFERROR(INDEX(Pedidos!$Y$2:$Y$301,MATCH(A174,Pedidos!$A$2:$A$301,0)),""))</f>
        <v/>
      </c>
      <c r="C174" s="26" t="n"/>
      <c r="D174" s="15">
        <f>IF(OR(B174="",C174="",B174=0),"",C174-B174)</f>
        <v/>
      </c>
      <c r="E174" s="15">
        <f>IF(D174="","",IF(D174&lt;=14,"Sí","No"))</f>
        <v/>
      </c>
      <c r="F174" s="25" t="n"/>
      <c r="G174" s="25" t="n"/>
      <c r="H174" s="16" t="n"/>
      <c r="I174" s="16" t="n"/>
      <c r="J174" s="25" t="n"/>
    </row>
    <row r="175">
      <c r="A175" s="25" t="n"/>
      <c r="B175" s="31">
        <f>IF(A175="","",IFERROR(INDEX(Pedidos!$Y$2:$Y$301,MATCH(A175,Pedidos!$A$2:$A$301,0)),""))</f>
        <v/>
      </c>
      <c r="C175" s="26" t="n"/>
      <c r="D175" s="15">
        <f>IF(OR(B175="",C175="",B175=0),"",C175-B175)</f>
        <v/>
      </c>
      <c r="E175" s="15">
        <f>IF(D175="","",IF(D175&lt;=14,"Sí","No"))</f>
        <v/>
      </c>
      <c r="F175" s="25" t="n"/>
      <c r="G175" s="25" t="n"/>
      <c r="H175" s="16" t="n"/>
      <c r="I175" s="16" t="n"/>
      <c r="J175" s="25" t="n"/>
    </row>
    <row r="176">
      <c r="A176" s="25" t="n"/>
      <c r="B176" s="31">
        <f>IF(A176="","",IFERROR(INDEX(Pedidos!$Y$2:$Y$301,MATCH(A176,Pedidos!$A$2:$A$301,0)),""))</f>
        <v/>
      </c>
      <c r="C176" s="26" t="n"/>
      <c r="D176" s="15">
        <f>IF(OR(B176="",C176="",B176=0),"",C176-B176)</f>
        <v/>
      </c>
      <c r="E176" s="15">
        <f>IF(D176="","",IF(D176&lt;=14,"Sí","No"))</f>
        <v/>
      </c>
      <c r="F176" s="25" t="n"/>
      <c r="G176" s="25" t="n"/>
      <c r="H176" s="16" t="n"/>
      <c r="I176" s="16" t="n"/>
      <c r="J176" s="25" t="n"/>
    </row>
    <row r="177">
      <c r="A177" s="25" t="n"/>
      <c r="B177" s="31">
        <f>IF(A177="","",IFERROR(INDEX(Pedidos!$Y$2:$Y$301,MATCH(A177,Pedidos!$A$2:$A$301,0)),""))</f>
        <v/>
      </c>
      <c r="C177" s="26" t="n"/>
      <c r="D177" s="15">
        <f>IF(OR(B177="",C177="",B177=0),"",C177-B177)</f>
        <v/>
      </c>
      <c r="E177" s="15">
        <f>IF(D177="","",IF(D177&lt;=14,"Sí","No"))</f>
        <v/>
      </c>
      <c r="F177" s="25" t="n"/>
      <c r="G177" s="25" t="n"/>
      <c r="H177" s="16" t="n"/>
      <c r="I177" s="16" t="n"/>
      <c r="J177" s="25" t="n"/>
    </row>
    <row r="178">
      <c r="A178" s="25" t="n"/>
      <c r="B178" s="31">
        <f>IF(A178="","",IFERROR(INDEX(Pedidos!$Y$2:$Y$301,MATCH(A178,Pedidos!$A$2:$A$301,0)),""))</f>
        <v/>
      </c>
      <c r="C178" s="26" t="n"/>
      <c r="D178" s="15">
        <f>IF(OR(B178="",C178="",B178=0),"",C178-B178)</f>
        <v/>
      </c>
      <c r="E178" s="15">
        <f>IF(D178="","",IF(D178&lt;=14,"Sí","No"))</f>
        <v/>
      </c>
      <c r="F178" s="25" t="n"/>
      <c r="G178" s="25" t="n"/>
      <c r="H178" s="16" t="n"/>
      <c r="I178" s="16" t="n"/>
      <c r="J178" s="25" t="n"/>
    </row>
    <row r="179">
      <c r="A179" s="25" t="n"/>
      <c r="B179" s="31">
        <f>IF(A179="","",IFERROR(INDEX(Pedidos!$Y$2:$Y$301,MATCH(A179,Pedidos!$A$2:$A$301,0)),""))</f>
        <v/>
      </c>
      <c r="C179" s="26" t="n"/>
      <c r="D179" s="15">
        <f>IF(OR(B179="",C179="",B179=0),"",C179-B179)</f>
        <v/>
      </c>
      <c r="E179" s="15">
        <f>IF(D179="","",IF(D179&lt;=14,"Sí","No"))</f>
        <v/>
      </c>
      <c r="F179" s="25" t="n"/>
      <c r="G179" s="25" t="n"/>
      <c r="H179" s="16" t="n"/>
      <c r="I179" s="16" t="n"/>
      <c r="J179" s="25" t="n"/>
    </row>
    <row r="180">
      <c r="A180" s="25" t="n"/>
      <c r="B180" s="31">
        <f>IF(A180="","",IFERROR(INDEX(Pedidos!$Y$2:$Y$301,MATCH(A180,Pedidos!$A$2:$A$301,0)),""))</f>
        <v/>
      </c>
      <c r="C180" s="26" t="n"/>
      <c r="D180" s="15">
        <f>IF(OR(B180="",C180="",B180=0),"",C180-B180)</f>
        <v/>
      </c>
      <c r="E180" s="15">
        <f>IF(D180="","",IF(D180&lt;=14,"Sí","No"))</f>
        <v/>
      </c>
      <c r="F180" s="25" t="n"/>
      <c r="G180" s="25" t="n"/>
      <c r="H180" s="16" t="n"/>
      <c r="I180" s="16" t="n"/>
      <c r="J180" s="25" t="n"/>
    </row>
    <row r="181">
      <c r="A181" s="25" t="n"/>
      <c r="B181" s="31">
        <f>IF(A181="","",IFERROR(INDEX(Pedidos!$Y$2:$Y$301,MATCH(A181,Pedidos!$A$2:$A$301,0)),""))</f>
        <v/>
      </c>
      <c r="C181" s="26" t="n"/>
      <c r="D181" s="15">
        <f>IF(OR(B181="",C181="",B181=0),"",C181-B181)</f>
        <v/>
      </c>
      <c r="E181" s="15">
        <f>IF(D181="","",IF(D181&lt;=14,"Sí","No"))</f>
        <v/>
      </c>
      <c r="F181" s="25" t="n"/>
      <c r="G181" s="25" t="n"/>
      <c r="H181" s="16" t="n"/>
      <c r="I181" s="16" t="n"/>
      <c r="J181" s="25" t="n"/>
    </row>
    <row r="182">
      <c r="A182" s="25" t="n"/>
      <c r="B182" s="31">
        <f>IF(A182="","",IFERROR(INDEX(Pedidos!$Y$2:$Y$301,MATCH(A182,Pedidos!$A$2:$A$301,0)),""))</f>
        <v/>
      </c>
      <c r="C182" s="26" t="n"/>
      <c r="D182" s="15">
        <f>IF(OR(B182="",C182="",B182=0),"",C182-B182)</f>
        <v/>
      </c>
      <c r="E182" s="15">
        <f>IF(D182="","",IF(D182&lt;=14,"Sí","No"))</f>
        <v/>
      </c>
      <c r="F182" s="25" t="n"/>
      <c r="G182" s="25" t="n"/>
      <c r="H182" s="16" t="n"/>
      <c r="I182" s="16" t="n"/>
      <c r="J182" s="25" t="n"/>
    </row>
    <row r="183">
      <c r="A183" s="25" t="n"/>
      <c r="B183" s="31">
        <f>IF(A183="","",IFERROR(INDEX(Pedidos!$Y$2:$Y$301,MATCH(A183,Pedidos!$A$2:$A$301,0)),""))</f>
        <v/>
      </c>
      <c r="C183" s="26" t="n"/>
      <c r="D183" s="15">
        <f>IF(OR(B183="",C183="",B183=0),"",C183-B183)</f>
        <v/>
      </c>
      <c r="E183" s="15">
        <f>IF(D183="","",IF(D183&lt;=14,"Sí","No"))</f>
        <v/>
      </c>
      <c r="F183" s="25" t="n"/>
      <c r="G183" s="25" t="n"/>
      <c r="H183" s="16" t="n"/>
      <c r="I183" s="16" t="n"/>
      <c r="J183" s="25" t="n"/>
    </row>
    <row r="184">
      <c r="A184" s="25" t="n"/>
      <c r="B184" s="31">
        <f>IF(A184="","",IFERROR(INDEX(Pedidos!$Y$2:$Y$301,MATCH(A184,Pedidos!$A$2:$A$301,0)),""))</f>
        <v/>
      </c>
      <c r="C184" s="26" t="n"/>
      <c r="D184" s="15">
        <f>IF(OR(B184="",C184="",B184=0),"",C184-B184)</f>
        <v/>
      </c>
      <c r="E184" s="15">
        <f>IF(D184="","",IF(D184&lt;=14,"Sí","No"))</f>
        <v/>
      </c>
      <c r="F184" s="25" t="n"/>
      <c r="G184" s="25" t="n"/>
      <c r="H184" s="16" t="n"/>
      <c r="I184" s="16" t="n"/>
      <c r="J184" s="25" t="n"/>
    </row>
    <row r="185">
      <c r="A185" s="25" t="n"/>
      <c r="B185" s="31">
        <f>IF(A185="","",IFERROR(INDEX(Pedidos!$Y$2:$Y$301,MATCH(A185,Pedidos!$A$2:$A$301,0)),""))</f>
        <v/>
      </c>
      <c r="C185" s="26" t="n"/>
      <c r="D185" s="15">
        <f>IF(OR(B185="",C185="",B185=0),"",C185-B185)</f>
        <v/>
      </c>
      <c r="E185" s="15">
        <f>IF(D185="","",IF(D185&lt;=14,"Sí","No"))</f>
        <v/>
      </c>
      <c r="F185" s="25" t="n"/>
      <c r="G185" s="25" t="n"/>
      <c r="H185" s="16" t="n"/>
      <c r="I185" s="16" t="n"/>
      <c r="J185" s="25" t="n"/>
    </row>
    <row r="186">
      <c r="A186" s="25" t="n"/>
      <c r="B186" s="31">
        <f>IF(A186="","",IFERROR(INDEX(Pedidos!$Y$2:$Y$301,MATCH(A186,Pedidos!$A$2:$A$301,0)),""))</f>
        <v/>
      </c>
      <c r="C186" s="26" t="n"/>
      <c r="D186" s="15">
        <f>IF(OR(B186="",C186="",B186=0),"",C186-B186)</f>
        <v/>
      </c>
      <c r="E186" s="15">
        <f>IF(D186="","",IF(D186&lt;=14,"Sí","No"))</f>
        <v/>
      </c>
      <c r="F186" s="25" t="n"/>
      <c r="G186" s="25" t="n"/>
      <c r="H186" s="16" t="n"/>
      <c r="I186" s="16" t="n"/>
      <c r="J186" s="25" t="n"/>
    </row>
    <row r="187">
      <c r="A187" s="25" t="n"/>
      <c r="B187" s="31">
        <f>IF(A187="","",IFERROR(INDEX(Pedidos!$Y$2:$Y$301,MATCH(A187,Pedidos!$A$2:$A$301,0)),""))</f>
        <v/>
      </c>
      <c r="C187" s="26" t="n"/>
      <c r="D187" s="15">
        <f>IF(OR(B187="",C187="",B187=0),"",C187-B187)</f>
        <v/>
      </c>
      <c r="E187" s="15">
        <f>IF(D187="","",IF(D187&lt;=14,"Sí","No"))</f>
        <v/>
      </c>
      <c r="F187" s="25" t="n"/>
      <c r="G187" s="25" t="n"/>
      <c r="H187" s="16" t="n"/>
      <c r="I187" s="16" t="n"/>
      <c r="J187" s="25" t="n"/>
    </row>
    <row r="188">
      <c r="A188" s="25" t="n"/>
      <c r="B188" s="31">
        <f>IF(A188="","",IFERROR(INDEX(Pedidos!$Y$2:$Y$301,MATCH(A188,Pedidos!$A$2:$A$301,0)),""))</f>
        <v/>
      </c>
      <c r="C188" s="26" t="n"/>
      <c r="D188" s="15">
        <f>IF(OR(B188="",C188="",B188=0),"",C188-B188)</f>
        <v/>
      </c>
      <c r="E188" s="15">
        <f>IF(D188="","",IF(D188&lt;=14,"Sí","No"))</f>
        <v/>
      </c>
      <c r="F188" s="25" t="n"/>
      <c r="G188" s="25" t="n"/>
      <c r="H188" s="16" t="n"/>
      <c r="I188" s="16" t="n"/>
      <c r="J188" s="25" t="n"/>
    </row>
    <row r="189">
      <c r="A189" s="25" t="n"/>
      <c r="B189" s="31">
        <f>IF(A189="","",IFERROR(INDEX(Pedidos!$Y$2:$Y$301,MATCH(A189,Pedidos!$A$2:$A$301,0)),""))</f>
        <v/>
      </c>
      <c r="C189" s="26" t="n"/>
      <c r="D189" s="15">
        <f>IF(OR(B189="",C189="",B189=0),"",C189-B189)</f>
        <v/>
      </c>
      <c r="E189" s="15">
        <f>IF(D189="","",IF(D189&lt;=14,"Sí","No"))</f>
        <v/>
      </c>
      <c r="F189" s="25" t="n"/>
      <c r="G189" s="25" t="n"/>
      <c r="H189" s="16" t="n"/>
      <c r="I189" s="16" t="n"/>
      <c r="J189" s="25" t="n"/>
    </row>
    <row r="190">
      <c r="A190" s="25" t="n"/>
      <c r="B190" s="31">
        <f>IF(A190="","",IFERROR(INDEX(Pedidos!$Y$2:$Y$301,MATCH(A190,Pedidos!$A$2:$A$301,0)),""))</f>
        <v/>
      </c>
      <c r="C190" s="26" t="n"/>
      <c r="D190" s="15">
        <f>IF(OR(B190="",C190="",B190=0),"",C190-B190)</f>
        <v/>
      </c>
      <c r="E190" s="15">
        <f>IF(D190="","",IF(D190&lt;=14,"Sí","No"))</f>
        <v/>
      </c>
      <c r="F190" s="25" t="n"/>
      <c r="G190" s="25" t="n"/>
      <c r="H190" s="16" t="n"/>
      <c r="I190" s="16" t="n"/>
      <c r="J190" s="25" t="n"/>
    </row>
    <row r="191">
      <c r="A191" s="25" t="n"/>
      <c r="B191" s="31">
        <f>IF(A191="","",IFERROR(INDEX(Pedidos!$Y$2:$Y$301,MATCH(A191,Pedidos!$A$2:$A$301,0)),""))</f>
        <v/>
      </c>
      <c r="C191" s="26" t="n"/>
      <c r="D191" s="15">
        <f>IF(OR(B191="",C191="",B191=0),"",C191-B191)</f>
        <v/>
      </c>
      <c r="E191" s="15">
        <f>IF(D191="","",IF(D191&lt;=14,"Sí","No"))</f>
        <v/>
      </c>
      <c r="F191" s="25" t="n"/>
      <c r="G191" s="25" t="n"/>
      <c r="H191" s="16" t="n"/>
      <c r="I191" s="16" t="n"/>
      <c r="J191" s="25" t="n"/>
    </row>
    <row r="192">
      <c r="A192" s="25" t="n"/>
      <c r="B192" s="31">
        <f>IF(A192="","",IFERROR(INDEX(Pedidos!$Y$2:$Y$301,MATCH(A192,Pedidos!$A$2:$A$301,0)),""))</f>
        <v/>
      </c>
      <c r="C192" s="26" t="n"/>
      <c r="D192" s="15">
        <f>IF(OR(B192="",C192="",B192=0),"",C192-B192)</f>
        <v/>
      </c>
      <c r="E192" s="15">
        <f>IF(D192="","",IF(D192&lt;=14,"Sí","No"))</f>
        <v/>
      </c>
      <c r="F192" s="25" t="n"/>
      <c r="G192" s="25" t="n"/>
      <c r="H192" s="16" t="n"/>
      <c r="I192" s="16" t="n"/>
      <c r="J192" s="25" t="n"/>
    </row>
    <row r="193">
      <c r="A193" s="25" t="n"/>
      <c r="B193" s="31">
        <f>IF(A193="","",IFERROR(INDEX(Pedidos!$Y$2:$Y$301,MATCH(A193,Pedidos!$A$2:$A$301,0)),""))</f>
        <v/>
      </c>
      <c r="C193" s="26" t="n"/>
      <c r="D193" s="15">
        <f>IF(OR(B193="",C193="",B193=0),"",C193-B193)</f>
        <v/>
      </c>
      <c r="E193" s="15">
        <f>IF(D193="","",IF(D193&lt;=14,"Sí","No"))</f>
        <v/>
      </c>
      <c r="F193" s="25" t="n"/>
      <c r="G193" s="25" t="n"/>
      <c r="H193" s="16" t="n"/>
      <c r="I193" s="16" t="n"/>
      <c r="J193" s="25" t="n"/>
    </row>
    <row r="194">
      <c r="A194" s="25" t="n"/>
      <c r="B194" s="31">
        <f>IF(A194="","",IFERROR(INDEX(Pedidos!$Y$2:$Y$301,MATCH(A194,Pedidos!$A$2:$A$301,0)),""))</f>
        <v/>
      </c>
      <c r="C194" s="26" t="n"/>
      <c r="D194" s="15">
        <f>IF(OR(B194="",C194="",B194=0),"",C194-B194)</f>
        <v/>
      </c>
      <c r="E194" s="15">
        <f>IF(D194="","",IF(D194&lt;=14,"Sí","No"))</f>
        <v/>
      </c>
      <c r="F194" s="25" t="n"/>
      <c r="G194" s="25" t="n"/>
      <c r="H194" s="16" t="n"/>
      <c r="I194" s="16" t="n"/>
      <c r="J194" s="25" t="n"/>
    </row>
    <row r="195">
      <c r="A195" s="25" t="n"/>
      <c r="B195" s="31">
        <f>IF(A195="","",IFERROR(INDEX(Pedidos!$Y$2:$Y$301,MATCH(A195,Pedidos!$A$2:$A$301,0)),""))</f>
        <v/>
      </c>
      <c r="C195" s="26" t="n"/>
      <c r="D195" s="15">
        <f>IF(OR(B195="",C195="",B195=0),"",C195-B195)</f>
        <v/>
      </c>
      <c r="E195" s="15">
        <f>IF(D195="","",IF(D195&lt;=14,"Sí","No"))</f>
        <v/>
      </c>
      <c r="F195" s="25" t="n"/>
      <c r="G195" s="25" t="n"/>
      <c r="H195" s="16" t="n"/>
      <c r="I195" s="16" t="n"/>
      <c r="J195" s="25" t="n"/>
    </row>
    <row r="196">
      <c r="A196" s="25" t="n"/>
      <c r="B196" s="31">
        <f>IF(A196="","",IFERROR(INDEX(Pedidos!$Y$2:$Y$301,MATCH(A196,Pedidos!$A$2:$A$301,0)),""))</f>
        <v/>
      </c>
      <c r="C196" s="26" t="n"/>
      <c r="D196" s="15">
        <f>IF(OR(B196="",C196="",B196=0),"",C196-B196)</f>
        <v/>
      </c>
      <c r="E196" s="15">
        <f>IF(D196="","",IF(D196&lt;=14,"Sí","No"))</f>
        <v/>
      </c>
      <c r="F196" s="25" t="n"/>
      <c r="G196" s="25" t="n"/>
      <c r="H196" s="16" t="n"/>
      <c r="I196" s="16" t="n"/>
      <c r="J196" s="25" t="n"/>
    </row>
    <row r="197">
      <c r="A197" s="25" t="n"/>
      <c r="B197" s="31">
        <f>IF(A197="","",IFERROR(INDEX(Pedidos!$Y$2:$Y$301,MATCH(A197,Pedidos!$A$2:$A$301,0)),""))</f>
        <v/>
      </c>
      <c r="C197" s="26" t="n"/>
      <c r="D197" s="15">
        <f>IF(OR(B197="",C197="",B197=0),"",C197-B197)</f>
        <v/>
      </c>
      <c r="E197" s="15">
        <f>IF(D197="","",IF(D197&lt;=14,"Sí","No"))</f>
        <v/>
      </c>
      <c r="F197" s="25" t="n"/>
      <c r="G197" s="25" t="n"/>
      <c r="H197" s="16" t="n"/>
      <c r="I197" s="16" t="n"/>
      <c r="J197" s="25" t="n"/>
    </row>
    <row r="198">
      <c r="A198" s="25" t="n"/>
      <c r="B198" s="31">
        <f>IF(A198="","",IFERROR(INDEX(Pedidos!$Y$2:$Y$301,MATCH(A198,Pedidos!$A$2:$A$301,0)),""))</f>
        <v/>
      </c>
      <c r="C198" s="26" t="n"/>
      <c r="D198" s="15">
        <f>IF(OR(B198="",C198="",B198=0),"",C198-B198)</f>
        <v/>
      </c>
      <c r="E198" s="15">
        <f>IF(D198="","",IF(D198&lt;=14,"Sí","No"))</f>
        <v/>
      </c>
      <c r="F198" s="25" t="n"/>
      <c r="G198" s="25" t="n"/>
      <c r="H198" s="16" t="n"/>
      <c r="I198" s="16" t="n"/>
      <c r="J198" s="25" t="n"/>
    </row>
    <row r="199">
      <c r="A199" s="25" t="n"/>
      <c r="B199" s="31">
        <f>IF(A199="","",IFERROR(INDEX(Pedidos!$Y$2:$Y$301,MATCH(A199,Pedidos!$A$2:$A$301,0)),""))</f>
        <v/>
      </c>
      <c r="C199" s="26" t="n"/>
      <c r="D199" s="15">
        <f>IF(OR(B199="",C199="",B199=0),"",C199-B199)</f>
        <v/>
      </c>
      <c r="E199" s="15">
        <f>IF(D199="","",IF(D199&lt;=14,"Sí","No"))</f>
        <v/>
      </c>
      <c r="F199" s="25" t="n"/>
      <c r="G199" s="25" t="n"/>
      <c r="H199" s="16" t="n"/>
      <c r="I199" s="16" t="n"/>
      <c r="J199" s="25" t="n"/>
    </row>
    <row r="200">
      <c r="A200" s="25" t="n"/>
      <c r="B200" s="31">
        <f>IF(A200="","",IFERROR(INDEX(Pedidos!$Y$2:$Y$301,MATCH(A200,Pedidos!$A$2:$A$301,0)),""))</f>
        <v/>
      </c>
      <c r="C200" s="26" t="n"/>
      <c r="D200" s="15">
        <f>IF(OR(B200="",C200="",B200=0),"",C200-B200)</f>
        <v/>
      </c>
      <c r="E200" s="15">
        <f>IF(D200="","",IF(D200&lt;=14,"Sí","No"))</f>
        <v/>
      </c>
      <c r="F200" s="25" t="n"/>
      <c r="G200" s="25" t="n"/>
      <c r="H200" s="16" t="n"/>
      <c r="I200" s="16" t="n"/>
      <c r="J200" s="25" t="n"/>
    </row>
    <row r="201">
      <c r="A201" s="25" t="n"/>
      <c r="B201" s="31">
        <f>IF(A201="","",IFERROR(INDEX(Pedidos!$Y$2:$Y$301,MATCH(A201,Pedidos!$A$2:$A$301,0)),""))</f>
        <v/>
      </c>
      <c r="C201" s="26" t="n"/>
      <c r="D201" s="15">
        <f>IF(OR(B201="",C201="",B201=0),"",C201-B201)</f>
        <v/>
      </c>
      <c r="E201" s="15">
        <f>IF(D201="","",IF(D201&lt;=14,"Sí","No"))</f>
        <v/>
      </c>
      <c r="F201" s="25" t="n"/>
      <c r="G201" s="25" t="n"/>
      <c r="H201" s="16" t="n"/>
      <c r="I201" s="16" t="n"/>
      <c r="J201" s="25" t="n"/>
    </row>
    <row r="202">
      <c r="A202" s="25" t="n"/>
      <c r="B202" s="31">
        <f>IF(A202="","",IFERROR(INDEX(Pedidos!$Y$2:$Y$301,MATCH(A202,Pedidos!$A$2:$A$301,0)),""))</f>
        <v/>
      </c>
      <c r="C202" s="26" t="n"/>
      <c r="D202" s="15">
        <f>IF(OR(B202="",C202="",B202=0),"",C202-B202)</f>
        <v/>
      </c>
      <c r="E202" s="15">
        <f>IF(D202="","",IF(D202&lt;=14,"Sí","No"))</f>
        <v/>
      </c>
      <c r="F202" s="25" t="n"/>
      <c r="G202" s="25" t="n"/>
      <c r="H202" s="16" t="n"/>
      <c r="I202" s="16" t="n"/>
      <c r="J202" s="25" t="n"/>
    </row>
    <row r="203">
      <c r="A203" s="25" t="n"/>
      <c r="B203" s="31">
        <f>IF(A203="","",IFERROR(INDEX(Pedidos!$Y$2:$Y$301,MATCH(A203,Pedidos!$A$2:$A$301,0)),""))</f>
        <v/>
      </c>
      <c r="C203" s="26" t="n"/>
      <c r="D203" s="15">
        <f>IF(OR(B203="",C203="",B203=0),"",C203-B203)</f>
        <v/>
      </c>
      <c r="E203" s="15">
        <f>IF(D203="","",IF(D203&lt;=14,"Sí","No"))</f>
        <v/>
      </c>
      <c r="F203" s="25" t="n"/>
      <c r="G203" s="25" t="n"/>
      <c r="H203" s="16" t="n"/>
      <c r="I203" s="16" t="n"/>
      <c r="J203" s="25" t="n"/>
    </row>
    <row r="204">
      <c r="A204" s="25" t="n"/>
      <c r="B204" s="31">
        <f>IF(A204="","",IFERROR(INDEX(Pedidos!$Y$2:$Y$301,MATCH(A204,Pedidos!$A$2:$A$301,0)),""))</f>
        <v/>
      </c>
      <c r="C204" s="26" t="n"/>
      <c r="D204" s="15">
        <f>IF(OR(B204="",C204="",B204=0),"",C204-B204)</f>
        <v/>
      </c>
      <c r="E204" s="15">
        <f>IF(D204="","",IF(D204&lt;=14,"Sí","No"))</f>
        <v/>
      </c>
      <c r="F204" s="25" t="n"/>
      <c r="G204" s="25" t="n"/>
      <c r="H204" s="16" t="n"/>
      <c r="I204" s="16" t="n"/>
      <c r="J204" s="25" t="n"/>
    </row>
    <row r="205">
      <c r="A205" s="25" t="n"/>
      <c r="B205" s="31">
        <f>IF(A205="","",IFERROR(INDEX(Pedidos!$Y$2:$Y$301,MATCH(A205,Pedidos!$A$2:$A$301,0)),""))</f>
        <v/>
      </c>
      <c r="C205" s="26" t="n"/>
      <c r="D205" s="15">
        <f>IF(OR(B205="",C205="",B205=0),"",C205-B205)</f>
        <v/>
      </c>
      <c r="E205" s="15">
        <f>IF(D205="","",IF(D205&lt;=14,"Sí","No"))</f>
        <v/>
      </c>
      <c r="F205" s="25" t="n"/>
      <c r="G205" s="25" t="n"/>
      <c r="H205" s="16" t="n"/>
      <c r="I205" s="16" t="n"/>
      <c r="J205" s="25" t="n"/>
    </row>
    <row r="206">
      <c r="A206" s="25" t="n"/>
      <c r="B206" s="31">
        <f>IF(A206="","",IFERROR(INDEX(Pedidos!$Y$2:$Y$301,MATCH(A206,Pedidos!$A$2:$A$301,0)),""))</f>
        <v/>
      </c>
      <c r="C206" s="26" t="n"/>
      <c r="D206" s="15">
        <f>IF(OR(B206="",C206="",B206=0),"",C206-B206)</f>
        <v/>
      </c>
      <c r="E206" s="15">
        <f>IF(D206="","",IF(D206&lt;=14,"Sí","No"))</f>
        <v/>
      </c>
      <c r="F206" s="25" t="n"/>
      <c r="G206" s="25" t="n"/>
      <c r="H206" s="16" t="n"/>
      <c r="I206" s="16" t="n"/>
      <c r="J206" s="25" t="n"/>
    </row>
    <row r="207">
      <c r="A207" s="25" t="n"/>
      <c r="B207" s="31">
        <f>IF(A207="","",IFERROR(INDEX(Pedidos!$Y$2:$Y$301,MATCH(A207,Pedidos!$A$2:$A$301,0)),""))</f>
        <v/>
      </c>
      <c r="C207" s="26" t="n"/>
      <c r="D207" s="15">
        <f>IF(OR(B207="",C207="",B207=0),"",C207-B207)</f>
        <v/>
      </c>
      <c r="E207" s="15">
        <f>IF(D207="","",IF(D207&lt;=14,"Sí","No"))</f>
        <v/>
      </c>
      <c r="F207" s="25" t="n"/>
      <c r="G207" s="25" t="n"/>
      <c r="H207" s="16" t="n"/>
      <c r="I207" s="16" t="n"/>
      <c r="J207" s="25" t="n"/>
    </row>
    <row r="208">
      <c r="A208" s="25" t="n"/>
      <c r="B208" s="31">
        <f>IF(A208="","",IFERROR(INDEX(Pedidos!$Y$2:$Y$301,MATCH(A208,Pedidos!$A$2:$A$301,0)),""))</f>
        <v/>
      </c>
      <c r="C208" s="26" t="n"/>
      <c r="D208" s="15">
        <f>IF(OR(B208="",C208="",B208=0),"",C208-B208)</f>
        <v/>
      </c>
      <c r="E208" s="15">
        <f>IF(D208="","",IF(D208&lt;=14,"Sí","No"))</f>
        <v/>
      </c>
      <c r="F208" s="25" t="n"/>
      <c r="G208" s="25" t="n"/>
      <c r="H208" s="16" t="n"/>
      <c r="I208" s="16" t="n"/>
      <c r="J208" s="25" t="n"/>
    </row>
    <row r="209">
      <c r="A209" s="25" t="n"/>
      <c r="B209" s="31">
        <f>IF(A209="","",IFERROR(INDEX(Pedidos!$Y$2:$Y$301,MATCH(A209,Pedidos!$A$2:$A$301,0)),""))</f>
        <v/>
      </c>
      <c r="C209" s="26" t="n"/>
      <c r="D209" s="15">
        <f>IF(OR(B209="",C209="",B209=0),"",C209-B209)</f>
        <v/>
      </c>
      <c r="E209" s="15">
        <f>IF(D209="","",IF(D209&lt;=14,"Sí","No"))</f>
        <v/>
      </c>
      <c r="F209" s="25" t="n"/>
      <c r="G209" s="25" t="n"/>
      <c r="H209" s="16" t="n"/>
      <c r="I209" s="16" t="n"/>
      <c r="J209" s="25" t="n"/>
    </row>
    <row r="210">
      <c r="A210" s="25" t="n"/>
      <c r="B210" s="31">
        <f>IF(A210="","",IFERROR(INDEX(Pedidos!$Y$2:$Y$301,MATCH(A210,Pedidos!$A$2:$A$301,0)),""))</f>
        <v/>
      </c>
      <c r="C210" s="26" t="n"/>
      <c r="D210" s="15">
        <f>IF(OR(B210="",C210="",B210=0),"",C210-B210)</f>
        <v/>
      </c>
      <c r="E210" s="15">
        <f>IF(D210="","",IF(D210&lt;=14,"Sí","No"))</f>
        <v/>
      </c>
      <c r="F210" s="25" t="n"/>
      <c r="G210" s="25" t="n"/>
      <c r="H210" s="16" t="n"/>
      <c r="I210" s="16" t="n"/>
      <c r="J210" s="25" t="n"/>
    </row>
    <row r="211">
      <c r="A211" s="25" t="n"/>
      <c r="B211" s="31">
        <f>IF(A211="","",IFERROR(INDEX(Pedidos!$Y$2:$Y$301,MATCH(A211,Pedidos!$A$2:$A$301,0)),""))</f>
        <v/>
      </c>
      <c r="C211" s="26" t="n"/>
      <c r="D211" s="15">
        <f>IF(OR(B211="",C211="",B211=0),"",C211-B211)</f>
        <v/>
      </c>
      <c r="E211" s="15">
        <f>IF(D211="","",IF(D211&lt;=14,"Sí","No"))</f>
        <v/>
      </c>
      <c r="F211" s="25" t="n"/>
      <c r="G211" s="25" t="n"/>
      <c r="H211" s="16" t="n"/>
      <c r="I211" s="16" t="n"/>
      <c r="J211" s="25" t="n"/>
    </row>
    <row r="212">
      <c r="A212" s="25" t="n"/>
      <c r="B212" s="31">
        <f>IF(A212="","",IFERROR(INDEX(Pedidos!$Y$2:$Y$301,MATCH(A212,Pedidos!$A$2:$A$301,0)),""))</f>
        <v/>
      </c>
      <c r="C212" s="26" t="n"/>
      <c r="D212" s="15">
        <f>IF(OR(B212="",C212="",B212=0),"",C212-B212)</f>
        <v/>
      </c>
      <c r="E212" s="15">
        <f>IF(D212="","",IF(D212&lt;=14,"Sí","No"))</f>
        <v/>
      </c>
      <c r="F212" s="25" t="n"/>
      <c r="G212" s="25" t="n"/>
      <c r="H212" s="16" t="n"/>
      <c r="I212" s="16" t="n"/>
      <c r="J212" s="25" t="n"/>
    </row>
    <row r="213">
      <c r="A213" s="25" t="n"/>
      <c r="B213" s="31">
        <f>IF(A213="","",IFERROR(INDEX(Pedidos!$Y$2:$Y$301,MATCH(A213,Pedidos!$A$2:$A$301,0)),""))</f>
        <v/>
      </c>
      <c r="C213" s="26" t="n"/>
      <c r="D213" s="15">
        <f>IF(OR(B213="",C213="",B213=0),"",C213-B213)</f>
        <v/>
      </c>
      <c r="E213" s="15">
        <f>IF(D213="","",IF(D213&lt;=14,"Sí","No"))</f>
        <v/>
      </c>
      <c r="F213" s="25" t="n"/>
      <c r="G213" s="25" t="n"/>
      <c r="H213" s="16" t="n"/>
      <c r="I213" s="16" t="n"/>
      <c r="J213" s="25" t="n"/>
    </row>
    <row r="214">
      <c r="A214" s="25" t="n"/>
      <c r="B214" s="31">
        <f>IF(A214="","",IFERROR(INDEX(Pedidos!$Y$2:$Y$301,MATCH(A214,Pedidos!$A$2:$A$301,0)),""))</f>
        <v/>
      </c>
      <c r="C214" s="26" t="n"/>
      <c r="D214" s="15">
        <f>IF(OR(B214="",C214="",B214=0),"",C214-B214)</f>
        <v/>
      </c>
      <c r="E214" s="15">
        <f>IF(D214="","",IF(D214&lt;=14,"Sí","No"))</f>
        <v/>
      </c>
      <c r="F214" s="25" t="n"/>
      <c r="G214" s="25" t="n"/>
      <c r="H214" s="16" t="n"/>
      <c r="I214" s="16" t="n"/>
      <c r="J214" s="25" t="n"/>
    </row>
    <row r="215">
      <c r="A215" s="25" t="n"/>
      <c r="B215" s="31">
        <f>IF(A215="","",IFERROR(INDEX(Pedidos!$Y$2:$Y$301,MATCH(A215,Pedidos!$A$2:$A$301,0)),""))</f>
        <v/>
      </c>
      <c r="C215" s="26" t="n"/>
      <c r="D215" s="15">
        <f>IF(OR(B215="",C215="",B215=0),"",C215-B215)</f>
        <v/>
      </c>
      <c r="E215" s="15">
        <f>IF(D215="","",IF(D215&lt;=14,"Sí","No"))</f>
        <v/>
      </c>
      <c r="F215" s="25" t="n"/>
      <c r="G215" s="25" t="n"/>
      <c r="H215" s="16" t="n"/>
      <c r="I215" s="16" t="n"/>
      <c r="J215" s="25" t="n"/>
    </row>
    <row r="216">
      <c r="A216" s="25" t="n"/>
      <c r="B216" s="31">
        <f>IF(A216="","",IFERROR(INDEX(Pedidos!$Y$2:$Y$301,MATCH(A216,Pedidos!$A$2:$A$301,0)),""))</f>
        <v/>
      </c>
      <c r="C216" s="26" t="n"/>
      <c r="D216" s="15">
        <f>IF(OR(B216="",C216="",B216=0),"",C216-B216)</f>
        <v/>
      </c>
      <c r="E216" s="15">
        <f>IF(D216="","",IF(D216&lt;=14,"Sí","No"))</f>
        <v/>
      </c>
      <c r="F216" s="25" t="n"/>
      <c r="G216" s="25" t="n"/>
      <c r="H216" s="16" t="n"/>
      <c r="I216" s="16" t="n"/>
      <c r="J216" s="25" t="n"/>
    </row>
    <row r="217">
      <c r="A217" s="25" t="n"/>
      <c r="B217" s="31">
        <f>IF(A217="","",IFERROR(INDEX(Pedidos!$Y$2:$Y$301,MATCH(A217,Pedidos!$A$2:$A$301,0)),""))</f>
        <v/>
      </c>
      <c r="C217" s="26" t="n"/>
      <c r="D217" s="15">
        <f>IF(OR(B217="",C217="",B217=0),"",C217-B217)</f>
        <v/>
      </c>
      <c r="E217" s="15">
        <f>IF(D217="","",IF(D217&lt;=14,"Sí","No"))</f>
        <v/>
      </c>
      <c r="F217" s="25" t="n"/>
      <c r="G217" s="25" t="n"/>
      <c r="H217" s="16" t="n"/>
      <c r="I217" s="16" t="n"/>
      <c r="J217" s="25" t="n"/>
    </row>
    <row r="218">
      <c r="A218" s="25" t="n"/>
      <c r="B218" s="31">
        <f>IF(A218="","",IFERROR(INDEX(Pedidos!$Y$2:$Y$301,MATCH(A218,Pedidos!$A$2:$A$301,0)),""))</f>
        <v/>
      </c>
      <c r="C218" s="26" t="n"/>
      <c r="D218" s="15">
        <f>IF(OR(B218="",C218="",B218=0),"",C218-B218)</f>
        <v/>
      </c>
      <c r="E218" s="15">
        <f>IF(D218="","",IF(D218&lt;=14,"Sí","No"))</f>
        <v/>
      </c>
      <c r="F218" s="25" t="n"/>
      <c r="G218" s="25" t="n"/>
      <c r="H218" s="16" t="n"/>
      <c r="I218" s="16" t="n"/>
      <c r="J218" s="25" t="n"/>
    </row>
    <row r="219">
      <c r="A219" s="25" t="n"/>
      <c r="B219" s="31">
        <f>IF(A219="","",IFERROR(INDEX(Pedidos!$Y$2:$Y$301,MATCH(A219,Pedidos!$A$2:$A$301,0)),""))</f>
        <v/>
      </c>
      <c r="C219" s="26" t="n"/>
      <c r="D219" s="15">
        <f>IF(OR(B219="",C219="",B219=0),"",C219-B219)</f>
        <v/>
      </c>
      <c r="E219" s="15">
        <f>IF(D219="","",IF(D219&lt;=14,"Sí","No"))</f>
        <v/>
      </c>
      <c r="F219" s="25" t="n"/>
      <c r="G219" s="25" t="n"/>
      <c r="H219" s="16" t="n"/>
      <c r="I219" s="16" t="n"/>
      <c r="J219" s="25" t="n"/>
    </row>
    <row r="220">
      <c r="A220" s="25" t="n"/>
      <c r="B220" s="31">
        <f>IF(A220="","",IFERROR(INDEX(Pedidos!$Y$2:$Y$301,MATCH(A220,Pedidos!$A$2:$A$301,0)),""))</f>
        <v/>
      </c>
      <c r="C220" s="26" t="n"/>
      <c r="D220" s="15">
        <f>IF(OR(B220="",C220="",B220=0),"",C220-B220)</f>
        <v/>
      </c>
      <c r="E220" s="15">
        <f>IF(D220="","",IF(D220&lt;=14,"Sí","No"))</f>
        <v/>
      </c>
      <c r="F220" s="25" t="n"/>
      <c r="G220" s="25" t="n"/>
      <c r="H220" s="16" t="n"/>
      <c r="I220" s="16" t="n"/>
      <c r="J220" s="25" t="n"/>
    </row>
    <row r="221">
      <c r="A221" s="25" t="n"/>
      <c r="B221" s="31">
        <f>IF(A221="","",IFERROR(INDEX(Pedidos!$Y$2:$Y$301,MATCH(A221,Pedidos!$A$2:$A$301,0)),""))</f>
        <v/>
      </c>
      <c r="C221" s="26" t="n"/>
      <c r="D221" s="15">
        <f>IF(OR(B221="",C221="",B221=0),"",C221-B221)</f>
        <v/>
      </c>
      <c r="E221" s="15">
        <f>IF(D221="","",IF(D221&lt;=14,"Sí","No"))</f>
        <v/>
      </c>
      <c r="F221" s="25" t="n"/>
      <c r="G221" s="25" t="n"/>
      <c r="H221" s="16" t="n"/>
      <c r="I221" s="16" t="n"/>
      <c r="J221" s="25" t="n"/>
    </row>
    <row r="222">
      <c r="A222" s="25" t="n"/>
      <c r="B222" s="31">
        <f>IF(A222="","",IFERROR(INDEX(Pedidos!$Y$2:$Y$301,MATCH(A222,Pedidos!$A$2:$A$301,0)),""))</f>
        <v/>
      </c>
      <c r="C222" s="26" t="n"/>
      <c r="D222" s="15">
        <f>IF(OR(B222="",C222="",B222=0),"",C222-B222)</f>
        <v/>
      </c>
      <c r="E222" s="15">
        <f>IF(D222="","",IF(D222&lt;=14,"Sí","No"))</f>
        <v/>
      </c>
      <c r="F222" s="25" t="n"/>
      <c r="G222" s="25" t="n"/>
      <c r="H222" s="16" t="n"/>
      <c r="I222" s="16" t="n"/>
      <c r="J222" s="25" t="n"/>
    </row>
    <row r="223">
      <c r="A223" s="25" t="n"/>
      <c r="B223" s="31">
        <f>IF(A223="","",IFERROR(INDEX(Pedidos!$Y$2:$Y$301,MATCH(A223,Pedidos!$A$2:$A$301,0)),""))</f>
        <v/>
      </c>
      <c r="C223" s="26" t="n"/>
      <c r="D223" s="15">
        <f>IF(OR(B223="",C223="",B223=0),"",C223-B223)</f>
        <v/>
      </c>
      <c r="E223" s="15">
        <f>IF(D223="","",IF(D223&lt;=14,"Sí","No"))</f>
        <v/>
      </c>
      <c r="F223" s="25" t="n"/>
      <c r="G223" s="25" t="n"/>
      <c r="H223" s="16" t="n"/>
      <c r="I223" s="16" t="n"/>
      <c r="J223" s="25" t="n"/>
    </row>
    <row r="224">
      <c r="A224" s="25" t="n"/>
      <c r="B224" s="31">
        <f>IF(A224="","",IFERROR(INDEX(Pedidos!$Y$2:$Y$301,MATCH(A224,Pedidos!$A$2:$A$301,0)),""))</f>
        <v/>
      </c>
      <c r="C224" s="26" t="n"/>
      <c r="D224" s="15">
        <f>IF(OR(B224="",C224="",B224=0),"",C224-B224)</f>
        <v/>
      </c>
      <c r="E224" s="15">
        <f>IF(D224="","",IF(D224&lt;=14,"Sí","No"))</f>
        <v/>
      </c>
      <c r="F224" s="25" t="n"/>
      <c r="G224" s="25" t="n"/>
      <c r="H224" s="16" t="n"/>
      <c r="I224" s="16" t="n"/>
      <c r="J224" s="25" t="n"/>
    </row>
    <row r="225">
      <c r="A225" s="25" t="n"/>
      <c r="B225" s="31">
        <f>IF(A225="","",IFERROR(INDEX(Pedidos!$Y$2:$Y$301,MATCH(A225,Pedidos!$A$2:$A$301,0)),""))</f>
        <v/>
      </c>
      <c r="C225" s="26" t="n"/>
      <c r="D225" s="15">
        <f>IF(OR(B225="",C225="",B225=0),"",C225-B225)</f>
        <v/>
      </c>
      <c r="E225" s="15">
        <f>IF(D225="","",IF(D225&lt;=14,"Sí","No"))</f>
        <v/>
      </c>
      <c r="F225" s="25" t="n"/>
      <c r="G225" s="25" t="n"/>
      <c r="H225" s="16" t="n"/>
      <c r="I225" s="16" t="n"/>
      <c r="J225" s="25" t="n"/>
    </row>
    <row r="226">
      <c r="A226" s="25" t="n"/>
      <c r="B226" s="31">
        <f>IF(A226="","",IFERROR(INDEX(Pedidos!$Y$2:$Y$301,MATCH(A226,Pedidos!$A$2:$A$301,0)),""))</f>
        <v/>
      </c>
      <c r="C226" s="26" t="n"/>
      <c r="D226" s="15">
        <f>IF(OR(B226="",C226="",B226=0),"",C226-B226)</f>
        <v/>
      </c>
      <c r="E226" s="15">
        <f>IF(D226="","",IF(D226&lt;=14,"Sí","No"))</f>
        <v/>
      </c>
      <c r="F226" s="25" t="n"/>
      <c r="G226" s="25" t="n"/>
      <c r="H226" s="16" t="n"/>
      <c r="I226" s="16" t="n"/>
      <c r="J226" s="25" t="n"/>
    </row>
    <row r="227">
      <c r="A227" s="25" t="n"/>
      <c r="B227" s="31">
        <f>IF(A227="","",IFERROR(INDEX(Pedidos!$Y$2:$Y$301,MATCH(A227,Pedidos!$A$2:$A$301,0)),""))</f>
        <v/>
      </c>
      <c r="C227" s="26" t="n"/>
      <c r="D227" s="15">
        <f>IF(OR(B227="",C227="",B227=0),"",C227-B227)</f>
        <v/>
      </c>
      <c r="E227" s="15">
        <f>IF(D227="","",IF(D227&lt;=14,"Sí","No"))</f>
        <v/>
      </c>
      <c r="F227" s="25" t="n"/>
      <c r="G227" s="25" t="n"/>
      <c r="H227" s="16" t="n"/>
      <c r="I227" s="16" t="n"/>
      <c r="J227" s="25" t="n"/>
    </row>
    <row r="228">
      <c r="A228" s="25" t="n"/>
      <c r="B228" s="31">
        <f>IF(A228="","",IFERROR(INDEX(Pedidos!$Y$2:$Y$301,MATCH(A228,Pedidos!$A$2:$A$301,0)),""))</f>
        <v/>
      </c>
      <c r="C228" s="26" t="n"/>
      <c r="D228" s="15">
        <f>IF(OR(B228="",C228="",B228=0),"",C228-B228)</f>
        <v/>
      </c>
      <c r="E228" s="15">
        <f>IF(D228="","",IF(D228&lt;=14,"Sí","No"))</f>
        <v/>
      </c>
      <c r="F228" s="25" t="n"/>
      <c r="G228" s="25" t="n"/>
      <c r="H228" s="16" t="n"/>
      <c r="I228" s="16" t="n"/>
      <c r="J228" s="25" t="n"/>
    </row>
    <row r="229">
      <c r="A229" s="25" t="n"/>
      <c r="B229" s="31">
        <f>IF(A229="","",IFERROR(INDEX(Pedidos!$Y$2:$Y$301,MATCH(A229,Pedidos!$A$2:$A$301,0)),""))</f>
        <v/>
      </c>
      <c r="C229" s="26" t="n"/>
      <c r="D229" s="15">
        <f>IF(OR(B229="",C229="",B229=0),"",C229-B229)</f>
        <v/>
      </c>
      <c r="E229" s="15">
        <f>IF(D229="","",IF(D229&lt;=14,"Sí","No"))</f>
        <v/>
      </c>
      <c r="F229" s="25" t="n"/>
      <c r="G229" s="25" t="n"/>
      <c r="H229" s="16" t="n"/>
      <c r="I229" s="16" t="n"/>
      <c r="J229" s="25" t="n"/>
    </row>
    <row r="230">
      <c r="A230" s="25" t="n"/>
      <c r="B230" s="31">
        <f>IF(A230="","",IFERROR(INDEX(Pedidos!$Y$2:$Y$301,MATCH(A230,Pedidos!$A$2:$A$301,0)),""))</f>
        <v/>
      </c>
      <c r="C230" s="26" t="n"/>
      <c r="D230" s="15">
        <f>IF(OR(B230="",C230="",B230=0),"",C230-B230)</f>
        <v/>
      </c>
      <c r="E230" s="15">
        <f>IF(D230="","",IF(D230&lt;=14,"Sí","No"))</f>
        <v/>
      </c>
      <c r="F230" s="25" t="n"/>
      <c r="G230" s="25" t="n"/>
      <c r="H230" s="16" t="n"/>
      <c r="I230" s="16" t="n"/>
      <c r="J230" s="25" t="n"/>
    </row>
    <row r="231">
      <c r="A231" s="25" t="n"/>
      <c r="B231" s="31">
        <f>IF(A231="","",IFERROR(INDEX(Pedidos!$Y$2:$Y$301,MATCH(A231,Pedidos!$A$2:$A$301,0)),""))</f>
        <v/>
      </c>
      <c r="C231" s="26" t="n"/>
      <c r="D231" s="15">
        <f>IF(OR(B231="",C231="",B231=0),"",C231-B231)</f>
        <v/>
      </c>
      <c r="E231" s="15">
        <f>IF(D231="","",IF(D231&lt;=14,"Sí","No"))</f>
        <v/>
      </c>
      <c r="F231" s="25" t="n"/>
      <c r="G231" s="25" t="n"/>
      <c r="H231" s="16" t="n"/>
      <c r="I231" s="16" t="n"/>
      <c r="J231" s="25" t="n"/>
    </row>
    <row r="232">
      <c r="A232" s="25" t="n"/>
      <c r="B232" s="31">
        <f>IF(A232="","",IFERROR(INDEX(Pedidos!$Y$2:$Y$301,MATCH(A232,Pedidos!$A$2:$A$301,0)),""))</f>
        <v/>
      </c>
      <c r="C232" s="26" t="n"/>
      <c r="D232" s="15">
        <f>IF(OR(B232="",C232="",B232=0),"",C232-B232)</f>
        <v/>
      </c>
      <c r="E232" s="15">
        <f>IF(D232="","",IF(D232&lt;=14,"Sí","No"))</f>
        <v/>
      </c>
      <c r="F232" s="25" t="n"/>
      <c r="G232" s="25" t="n"/>
      <c r="H232" s="16" t="n"/>
      <c r="I232" s="16" t="n"/>
      <c r="J232" s="25" t="n"/>
    </row>
    <row r="233">
      <c r="A233" s="25" t="n"/>
      <c r="B233" s="31">
        <f>IF(A233="","",IFERROR(INDEX(Pedidos!$Y$2:$Y$301,MATCH(A233,Pedidos!$A$2:$A$301,0)),""))</f>
        <v/>
      </c>
      <c r="C233" s="26" t="n"/>
      <c r="D233" s="15">
        <f>IF(OR(B233="",C233="",B233=0),"",C233-B233)</f>
        <v/>
      </c>
      <c r="E233" s="15">
        <f>IF(D233="","",IF(D233&lt;=14,"Sí","No"))</f>
        <v/>
      </c>
      <c r="F233" s="25" t="n"/>
      <c r="G233" s="25" t="n"/>
      <c r="H233" s="16" t="n"/>
      <c r="I233" s="16" t="n"/>
      <c r="J233" s="25" t="n"/>
    </row>
    <row r="234">
      <c r="A234" s="25" t="n"/>
      <c r="B234" s="31">
        <f>IF(A234="","",IFERROR(INDEX(Pedidos!$Y$2:$Y$301,MATCH(A234,Pedidos!$A$2:$A$301,0)),""))</f>
        <v/>
      </c>
      <c r="C234" s="26" t="n"/>
      <c r="D234" s="15">
        <f>IF(OR(B234="",C234="",B234=0),"",C234-B234)</f>
        <v/>
      </c>
      <c r="E234" s="15">
        <f>IF(D234="","",IF(D234&lt;=14,"Sí","No"))</f>
        <v/>
      </c>
      <c r="F234" s="25" t="n"/>
      <c r="G234" s="25" t="n"/>
      <c r="H234" s="16" t="n"/>
      <c r="I234" s="16" t="n"/>
      <c r="J234" s="25" t="n"/>
    </row>
    <row r="235">
      <c r="A235" s="25" t="n"/>
      <c r="B235" s="31">
        <f>IF(A235="","",IFERROR(INDEX(Pedidos!$Y$2:$Y$301,MATCH(A235,Pedidos!$A$2:$A$301,0)),""))</f>
        <v/>
      </c>
      <c r="C235" s="26" t="n"/>
      <c r="D235" s="15">
        <f>IF(OR(B235="",C235="",B235=0),"",C235-B235)</f>
        <v/>
      </c>
      <c r="E235" s="15">
        <f>IF(D235="","",IF(D235&lt;=14,"Sí","No"))</f>
        <v/>
      </c>
      <c r="F235" s="25" t="n"/>
      <c r="G235" s="25" t="n"/>
      <c r="H235" s="16" t="n"/>
      <c r="I235" s="16" t="n"/>
      <c r="J235" s="25" t="n"/>
    </row>
    <row r="236">
      <c r="A236" s="25" t="n"/>
      <c r="B236" s="31">
        <f>IF(A236="","",IFERROR(INDEX(Pedidos!$Y$2:$Y$301,MATCH(A236,Pedidos!$A$2:$A$301,0)),""))</f>
        <v/>
      </c>
      <c r="C236" s="26" t="n"/>
      <c r="D236" s="15">
        <f>IF(OR(B236="",C236="",B236=0),"",C236-B236)</f>
        <v/>
      </c>
      <c r="E236" s="15">
        <f>IF(D236="","",IF(D236&lt;=14,"Sí","No"))</f>
        <v/>
      </c>
      <c r="F236" s="25" t="n"/>
      <c r="G236" s="25" t="n"/>
      <c r="H236" s="16" t="n"/>
      <c r="I236" s="16" t="n"/>
      <c r="J236" s="25" t="n"/>
    </row>
    <row r="237">
      <c r="A237" s="25" t="n"/>
      <c r="B237" s="31">
        <f>IF(A237="","",IFERROR(INDEX(Pedidos!$Y$2:$Y$301,MATCH(A237,Pedidos!$A$2:$A$301,0)),""))</f>
        <v/>
      </c>
      <c r="C237" s="26" t="n"/>
      <c r="D237" s="15">
        <f>IF(OR(B237="",C237="",B237=0),"",C237-B237)</f>
        <v/>
      </c>
      <c r="E237" s="15">
        <f>IF(D237="","",IF(D237&lt;=14,"Sí","No"))</f>
        <v/>
      </c>
      <c r="F237" s="25" t="n"/>
      <c r="G237" s="25" t="n"/>
      <c r="H237" s="16" t="n"/>
      <c r="I237" s="16" t="n"/>
      <c r="J237" s="25" t="n"/>
    </row>
    <row r="238">
      <c r="A238" s="25" t="n"/>
      <c r="B238" s="31">
        <f>IF(A238="","",IFERROR(INDEX(Pedidos!$Y$2:$Y$301,MATCH(A238,Pedidos!$A$2:$A$301,0)),""))</f>
        <v/>
      </c>
      <c r="C238" s="26" t="n"/>
      <c r="D238" s="15">
        <f>IF(OR(B238="",C238="",B238=0),"",C238-B238)</f>
        <v/>
      </c>
      <c r="E238" s="15">
        <f>IF(D238="","",IF(D238&lt;=14,"Sí","No"))</f>
        <v/>
      </c>
      <c r="F238" s="25" t="n"/>
      <c r="G238" s="25" t="n"/>
      <c r="H238" s="16" t="n"/>
      <c r="I238" s="16" t="n"/>
      <c r="J238" s="25" t="n"/>
    </row>
    <row r="239">
      <c r="A239" s="25" t="n"/>
      <c r="B239" s="31">
        <f>IF(A239="","",IFERROR(INDEX(Pedidos!$Y$2:$Y$301,MATCH(A239,Pedidos!$A$2:$A$301,0)),""))</f>
        <v/>
      </c>
      <c r="C239" s="26" t="n"/>
      <c r="D239" s="15">
        <f>IF(OR(B239="",C239="",B239=0),"",C239-B239)</f>
        <v/>
      </c>
      <c r="E239" s="15">
        <f>IF(D239="","",IF(D239&lt;=14,"Sí","No"))</f>
        <v/>
      </c>
      <c r="F239" s="25" t="n"/>
      <c r="G239" s="25" t="n"/>
      <c r="H239" s="16" t="n"/>
      <c r="I239" s="16" t="n"/>
      <c r="J239" s="25" t="n"/>
    </row>
    <row r="240">
      <c r="A240" s="25" t="n"/>
      <c r="B240" s="31">
        <f>IF(A240="","",IFERROR(INDEX(Pedidos!$Y$2:$Y$301,MATCH(A240,Pedidos!$A$2:$A$301,0)),""))</f>
        <v/>
      </c>
      <c r="C240" s="26" t="n"/>
      <c r="D240" s="15">
        <f>IF(OR(B240="",C240="",B240=0),"",C240-B240)</f>
        <v/>
      </c>
      <c r="E240" s="15">
        <f>IF(D240="","",IF(D240&lt;=14,"Sí","No"))</f>
        <v/>
      </c>
      <c r="F240" s="25" t="n"/>
      <c r="G240" s="25" t="n"/>
      <c r="H240" s="16" t="n"/>
      <c r="I240" s="16" t="n"/>
      <c r="J240" s="25" t="n"/>
    </row>
    <row r="241">
      <c r="A241" s="25" t="n"/>
      <c r="B241" s="31">
        <f>IF(A241="","",IFERROR(INDEX(Pedidos!$Y$2:$Y$301,MATCH(A241,Pedidos!$A$2:$A$301,0)),""))</f>
        <v/>
      </c>
      <c r="C241" s="26" t="n"/>
      <c r="D241" s="15">
        <f>IF(OR(B241="",C241="",B241=0),"",C241-B241)</f>
        <v/>
      </c>
      <c r="E241" s="15">
        <f>IF(D241="","",IF(D241&lt;=14,"Sí","No"))</f>
        <v/>
      </c>
      <c r="F241" s="25" t="n"/>
      <c r="G241" s="25" t="n"/>
      <c r="H241" s="16" t="n"/>
      <c r="I241" s="16" t="n"/>
      <c r="J241" s="25" t="n"/>
    </row>
    <row r="242">
      <c r="A242" s="25" t="n"/>
      <c r="B242" s="31">
        <f>IF(A242="","",IFERROR(INDEX(Pedidos!$Y$2:$Y$301,MATCH(A242,Pedidos!$A$2:$A$301,0)),""))</f>
        <v/>
      </c>
      <c r="C242" s="26" t="n"/>
      <c r="D242" s="15">
        <f>IF(OR(B242="",C242="",B242=0),"",C242-B242)</f>
        <v/>
      </c>
      <c r="E242" s="15">
        <f>IF(D242="","",IF(D242&lt;=14,"Sí","No"))</f>
        <v/>
      </c>
      <c r="F242" s="25" t="n"/>
      <c r="G242" s="25" t="n"/>
      <c r="H242" s="16" t="n"/>
      <c r="I242" s="16" t="n"/>
      <c r="J242" s="25" t="n"/>
    </row>
    <row r="243">
      <c r="A243" s="25" t="n"/>
      <c r="B243" s="31">
        <f>IF(A243="","",IFERROR(INDEX(Pedidos!$Y$2:$Y$301,MATCH(A243,Pedidos!$A$2:$A$301,0)),""))</f>
        <v/>
      </c>
      <c r="C243" s="26" t="n"/>
      <c r="D243" s="15">
        <f>IF(OR(B243="",C243="",B243=0),"",C243-B243)</f>
        <v/>
      </c>
      <c r="E243" s="15">
        <f>IF(D243="","",IF(D243&lt;=14,"Sí","No"))</f>
        <v/>
      </c>
      <c r="F243" s="25" t="n"/>
      <c r="G243" s="25" t="n"/>
      <c r="H243" s="16" t="n"/>
      <c r="I243" s="16" t="n"/>
      <c r="J243" s="25" t="n"/>
    </row>
    <row r="244">
      <c r="A244" s="25" t="n"/>
      <c r="B244" s="31">
        <f>IF(A244="","",IFERROR(INDEX(Pedidos!$Y$2:$Y$301,MATCH(A244,Pedidos!$A$2:$A$301,0)),""))</f>
        <v/>
      </c>
      <c r="C244" s="26" t="n"/>
      <c r="D244" s="15">
        <f>IF(OR(B244="",C244="",B244=0),"",C244-B244)</f>
        <v/>
      </c>
      <c r="E244" s="15">
        <f>IF(D244="","",IF(D244&lt;=14,"Sí","No"))</f>
        <v/>
      </c>
      <c r="F244" s="25" t="n"/>
      <c r="G244" s="25" t="n"/>
      <c r="H244" s="16" t="n"/>
      <c r="I244" s="16" t="n"/>
      <c r="J244" s="25" t="n"/>
    </row>
    <row r="245">
      <c r="A245" s="25" t="n"/>
      <c r="B245" s="31">
        <f>IF(A245="","",IFERROR(INDEX(Pedidos!$Y$2:$Y$301,MATCH(A245,Pedidos!$A$2:$A$301,0)),""))</f>
        <v/>
      </c>
      <c r="C245" s="26" t="n"/>
      <c r="D245" s="15">
        <f>IF(OR(B245="",C245="",B245=0),"",C245-B245)</f>
        <v/>
      </c>
      <c r="E245" s="15">
        <f>IF(D245="","",IF(D245&lt;=14,"Sí","No"))</f>
        <v/>
      </c>
      <c r="F245" s="25" t="n"/>
      <c r="G245" s="25" t="n"/>
      <c r="H245" s="16" t="n"/>
      <c r="I245" s="16" t="n"/>
      <c r="J245" s="25" t="n"/>
    </row>
    <row r="246">
      <c r="A246" s="25" t="n"/>
      <c r="B246" s="31">
        <f>IF(A246="","",IFERROR(INDEX(Pedidos!$Y$2:$Y$301,MATCH(A246,Pedidos!$A$2:$A$301,0)),""))</f>
        <v/>
      </c>
      <c r="C246" s="26" t="n"/>
      <c r="D246" s="15">
        <f>IF(OR(B246="",C246="",B246=0),"",C246-B246)</f>
        <v/>
      </c>
      <c r="E246" s="15">
        <f>IF(D246="","",IF(D246&lt;=14,"Sí","No"))</f>
        <v/>
      </c>
      <c r="F246" s="25" t="n"/>
      <c r="G246" s="25" t="n"/>
      <c r="H246" s="16" t="n"/>
      <c r="I246" s="16" t="n"/>
      <c r="J246" s="25" t="n"/>
    </row>
    <row r="247">
      <c r="A247" s="25" t="n"/>
      <c r="B247" s="31">
        <f>IF(A247="","",IFERROR(INDEX(Pedidos!$Y$2:$Y$301,MATCH(A247,Pedidos!$A$2:$A$301,0)),""))</f>
        <v/>
      </c>
      <c r="C247" s="26" t="n"/>
      <c r="D247" s="15">
        <f>IF(OR(B247="",C247="",B247=0),"",C247-B247)</f>
        <v/>
      </c>
      <c r="E247" s="15">
        <f>IF(D247="","",IF(D247&lt;=14,"Sí","No"))</f>
        <v/>
      </c>
      <c r="F247" s="25" t="n"/>
      <c r="G247" s="25" t="n"/>
      <c r="H247" s="16" t="n"/>
      <c r="I247" s="16" t="n"/>
      <c r="J247" s="25" t="n"/>
    </row>
    <row r="248">
      <c r="A248" s="25" t="n"/>
      <c r="B248" s="31">
        <f>IF(A248="","",IFERROR(INDEX(Pedidos!$Y$2:$Y$301,MATCH(A248,Pedidos!$A$2:$A$301,0)),""))</f>
        <v/>
      </c>
      <c r="C248" s="26" t="n"/>
      <c r="D248" s="15">
        <f>IF(OR(B248="",C248="",B248=0),"",C248-B248)</f>
        <v/>
      </c>
      <c r="E248" s="15">
        <f>IF(D248="","",IF(D248&lt;=14,"Sí","No"))</f>
        <v/>
      </c>
      <c r="F248" s="25" t="n"/>
      <c r="G248" s="25" t="n"/>
      <c r="H248" s="16" t="n"/>
      <c r="I248" s="16" t="n"/>
      <c r="J248" s="25" t="n"/>
    </row>
    <row r="249">
      <c r="A249" s="25" t="n"/>
      <c r="B249" s="31">
        <f>IF(A249="","",IFERROR(INDEX(Pedidos!$Y$2:$Y$301,MATCH(A249,Pedidos!$A$2:$A$301,0)),""))</f>
        <v/>
      </c>
      <c r="C249" s="26" t="n"/>
      <c r="D249" s="15">
        <f>IF(OR(B249="",C249="",B249=0),"",C249-B249)</f>
        <v/>
      </c>
      <c r="E249" s="15">
        <f>IF(D249="","",IF(D249&lt;=14,"Sí","No"))</f>
        <v/>
      </c>
      <c r="F249" s="25" t="n"/>
      <c r="G249" s="25" t="n"/>
      <c r="H249" s="16" t="n"/>
      <c r="I249" s="16" t="n"/>
      <c r="J249" s="25" t="n"/>
    </row>
    <row r="250">
      <c r="A250" s="25" t="n"/>
      <c r="B250" s="31">
        <f>IF(A250="","",IFERROR(INDEX(Pedidos!$Y$2:$Y$301,MATCH(A250,Pedidos!$A$2:$A$301,0)),""))</f>
        <v/>
      </c>
      <c r="C250" s="26" t="n"/>
      <c r="D250" s="15">
        <f>IF(OR(B250="",C250="",B250=0),"",C250-B250)</f>
        <v/>
      </c>
      <c r="E250" s="15">
        <f>IF(D250="","",IF(D250&lt;=14,"Sí","No"))</f>
        <v/>
      </c>
      <c r="F250" s="25" t="n"/>
      <c r="G250" s="25" t="n"/>
      <c r="H250" s="16" t="n"/>
      <c r="I250" s="16" t="n"/>
      <c r="J250" s="25" t="n"/>
    </row>
    <row r="251">
      <c r="A251" s="25" t="n"/>
      <c r="B251" s="31">
        <f>IF(A251="","",IFERROR(INDEX(Pedidos!$Y$2:$Y$301,MATCH(A251,Pedidos!$A$2:$A$301,0)),""))</f>
        <v/>
      </c>
      <c r="C251" s="26" t="n"/>
      <c r="D251" s="15">
        <f>IF(OR(B251="",C251="",B251=0),"",C251-B251)</f>
        <v/>
      </c>
      <c r="E251" s="15">
        <f>IF(D251="","",IF(D251&lt;=14,"Sí","No"))</f>
        <v/>
      </c>
      <c r="F251" s="25" t="n"/>
      <c r="G251" s="25" t="n"/>
      <c r="H251" s="16" t="n"/>
      <c r="I251" s="16" t="n"/>
      <c r="J251" s="25" t="n"/>
    </row>
    <row r="252">
      <c r="A252" s="25" t="n"/>
      <c r="B252" s="31">
        <f>IF(A252="","",IFERROR(INDEX(Pedidos!$Y$2:$Y$301,MATCH(A252,Pedidos!$A$2:$A$301,0)),""))</f>
        <v/>
      </c>
      <c r="C252" s="26" t="n"/>
      <c r="D252" s="15">
        <f>IF(OR(B252="",C252="",B252=0),"",C252-B252)</f>
        <v/>
      </c>
      <c r="E252" s="15">
        <f>IF(D252="","",IF(D252&lt;=14,"Sí","No"))</f>
        <v/>
      </c>
      <c r="F252" s="25" t="n"/>
      <c r="G252" s="25" t="n"/>
      <c r="H252" s="16" t="n"/>
      <c r="I252" s="16" t="n"/>
      <c r="J252" s="25" t="n"/>
    </row>
    <row r="253">
      <c r="A253" s="25" t="n"/>
      <c r="B253" s="31">
        <f>IF(A253="","",IFERROR(INDEX(Pedidos!$Y$2:$Y$301,MATCH(A253,Pedidos!$A$2:$A$301,0)),""))</f>
        <v/>
      </c>
      <c r="C253" s="26" t="n"/>
      <c r="D253" s="15">
        <f>IF(OR(B253="",C253="",B253=0),"",C253-B253)</f>
        <v/>
      </c>
      <c r="E253" s="15">
        <f>IF(D253="","",IF(D253&lt;=14,"Sí","No"))</f>
        <v/>
      </c>
      <c r="F253" s="25" t="n"/>
      <c r="G253" s="25" t="n"/>
      <c r="H253" s="16" t="n"/>
      <c r="I253" s="16" t="n"/>
      <c r="J253" s="25" t="n"/>
    </row>
    <row r="254">
      <c r="A254" s="25" t="n"/>
      <c r="B254" s="31">
        <f>IF(A254="","",IFERROR(INDEX(Pedidos!$Y$2:$Y$301,MATCH(A254,Pedidos!$A$2:$A$301,0)),""))</f>
        <v/>
      </c>
      <c r="C254" s="26" t="n"/>
      <c r="D254" s="15">
        <f>IF(OR(B254="",C254="",B254=0),"",C254-B254)</f>
        <v/>
      </c>
      <c r="E254" s="15">
        <f>IF(D254="","",IF(D254&lt;=14,"Sí","No"))</f>
        <v/>
      </c>
      <c r="F254" s="25" t="n"/>
      <c r="G254" s="25" t="n"/>
      <c r="H254" s="16" t="n"/>
      <c r="I254" s="16" t="n"/>
      <c r="J254" s="25" t="n"/>
    </row>
    <row r="255">
      <c r="A255" s="25" t="n"/>
      <c r="B255" s="31">
        <f>IF(A255="","",IFERROR(INDEX(Pedidos!$Y$2:$Y$301,MATCH(A255,Pedidos!$A$2:$A$301,0)),""))</f>
        <v/>
      </c>
      <c r="C255" s="26" t="n"/>
      <c r="D255" s="15">
        <f>IF(OR(B255="",C255="",B255=0),"",C255-B255)</f>
        <v/>
      </c>
      <c r="E255" s="15">
        <f>IF(D255="","",IF(D255&lt;=14,"Sí","No"))</f>
        <v/>
      </c>
      <c r="F255" s="25" t="n"/>
      <c r="G255" s="25" t="n"/>
      <c r="H255" s="16" t="n"/>
      <c r="I255" s="16" t="n"/>
      <c r="J255" s="25" t="n"/>
    </row>
    <row r="256">
      <c r="A256" s="25" t="n"/>
      <c r="B256" s="31">
        <f>IF(A256="","",IFERROR(INDEX(Pedidos!$Y$2:$Y$301,MATCH(A256,Pedidos!$A$2:$A$301,0)),""))</f>
        <v/>
      </c>
      <c r="C256" s="26" t="n"/>
      <c r="D256" s="15">
        <f>IF(OR(B256="",C256="",B256=0),"",C256-B256)</f>
        <v/>
      </c>
      <c r="E256" s="15">
        <f>IF(D256="","",IF(D256&lt;=14,"Sí","No"))</f>
        <v/>
      </c>
      <c r="F256" s="25" t="n"/>
      <c r="G256" s="25" t="n"/>
      <c r="H256" s="16" t="n"/>
      <c r="I256" s="16" t="n"/>
      <c r="J256" s="25" t="n"/>
    </row>
    <row r="257">
      <c r="A257" s="25" t="n"/>
      <c r="B257" s="31">
        <f>IF(A257="","",IFERROR(INDEX(Pedidos!$Y$2:$Y$301,MATCH(A257,Pedidos!$A$2:$A$301,0)),""))</f>
        <v/>
      </c>
      <c r="C257" s="26" t="n"/>
      <c r="D257" s="15">
        <f>IF(OR(B257="",C257="",B257=0),"",C257-B257)</f>
        <v/>
      </c>
      <c r="E257" s="15">
        <f>IF(D257="","",IF(D257&lt;=14,"Sí","No"))</f>
        <v/>
      </c>
      <c r="F257" s="25" t="n"/>
      <c r="G257" s="25" t="n"/>
      <c r="H257" s="16" t="n"/>
      <c r="I257" s="16" t="n"/>
      <c r="J257" s="25" t="n"/>
    </row>
    <row r="258">
      <c r="A258" s="25" t="n"/>
      <c r="B258" s="31">
        <f>IF(A258="","",IFERROR(INDEX(Pedidos!$Y$2:$Y$301,MATCH(A258,Pedidos!$A$2:$A$301,0)),""))</f>
        <v/>
      </c>
      <c r="C258" s="26" t="n"/>
      <c r="D258" s="15">
        <f>IF(OR(B258="",C258="",B258=0),"",C258-B258)</f>
        <v/>
      </c>
      <c r="E258" s="15">
        <f>IF(D258="","",IF(D258&lt;=14,"Sí","No"))</f>
        <v/>
      </c>
      <c r="F258" s="25" t="n"/>
      <c r="G258" s="25" t="n"/>
      <c r="H258" s="16" t="n"/>
      <c r="I258" s="16" t="n"/>
      <c r="J258" s="25" t="n"/>
    </row>
    <row r="259">
      <c r="A259" s="25" t="n"/>
      <c r="B259" s="31">
        <f>IF(A259="","",IFERROR(INDEX(Pedidos!$Y$2:$Y$301,MATCH(A259,Pedidos!$A$2:$A$301,0)),""))</f>
        <v/>
      </c>
      <c r="C259" s="26" t="n"/>
      <c r="D259" s="15">
        <f>IF(OR(B259="",C259="",B259=0),"",C259-B259)</f>
        <v/>
      </c>
      <c r="E259" s="15">
        <f>IF(D259="","",IF(D259&lt;=14,"Sí","No"))</f>
        <v/>
      </c>
      <c r="F259" s="25" t="n"/>
      <c r="G259" s="25" t="n"/>
      <c r="H259" s="16" t="n"/>
      <c r="I259" s="16" t="n"/>
      <c r="J259" s="25" t="n"/>
    </row>
    <row r="260">
      <c r="A260" s="25" t="n"/>
      <c r="B260" s="31">
        <f>IF(A260="","",IFERROR(INDEX(Pedidos!$Y$2:$Y$301,MATCH(A260,Pedidos!$A$2:$A$301,0)),""))</f>
        <v/>
      </c>
      <c r="C260" s="26" t="n"/>
      <c r="D260" s="15">
        <f>IF(OR(B260="",C260="",B260=0),"",C260-B260)</f>
        <v/>
      </c>
      <c r="E260" s="15">
        <f>IF(D260="","",IF(D260&lt;=14,"Sí","No"))</f>
        <v/>
      </c>
      <c r="F260" s="25" t="n"/>
      <c r="G260" s="25" t="n"/>
      <c r="H260" s="16" t="n"/>
      <c r="I260" s="16" t="n"/>
      <c r="J260" s="25" t="n"/>
    </row>
    <row r="261">
      <c r="A261" s="25" t="n"/>
      <c r="B261" s="31">
        <f>IF(A261="","",IFERROR(INDEX(Pedidos!$Y$2:$Y$301,MATCH(A261,Pedidos!$A$2:$A$301,0)),""))</f>
        <v/>
      </c>
      <c r="C261" s="26" t="n"/>
      <c r="D261" s="15">
        <f>IF(OR(B261="",C261="",B261=0),"",C261-B261)</f>
        <v/>
      </c>
      <c r="E261" s="15">
        <f>IF(D261="","",IF(D261&lt;=14,"Sí","No"))</f>
        <v/>
      </c>
      <c r="F261" s="25" t="n"/>
      <c r="G261" s="25" t="n"/>
      <c r="H261" s="16" t="n"/>
      <c r="I261" s="16" t="n"/>
      <c r="J261" s="25" t="n"/>
    </row>
    <row r="262">
      <c r="A262" s="25" t="n"/>
      <c r="B262" s="31">
        <f>IF(A262="","",IFERROR(INDEX(Pedidos!$Y$2:$Y$301,MATCH(A262,Pedidos!$A$2:$A$301,0)),""))</f>
        <v/>
      </c>
      <c r="C262" s="26" t="n"/>
      <c r="D262" s="15">
        <f>IF(OR(B262="",C262="",B262=0),"",C262-B262)</f>
        <v/>
      </c>
      <c r="E262" s="15">
        <f>IF(D262="","",IF(D262&lt;=14,"Sí","No"))</f>
        <v/>
      </c>
      <c r="F262" s="25" t="n"/>
      <c r="G262" s="25" t="n"/>
      <c r="H262" s="16" t="n"/>
      <c r="I262" s="16" t="n"/>
      <c r="J262" s="25" t="n"/>
    </row>
    <row r="263">
      <c r="A263" s="25" t="n"/>
      <c r="B263" s="31">
        <f>IF(A263="","",IFERROR(INDEX(Pedidos!$Y$2:$Y$301,MATCH(A263,Pedidos!$A$2:$A$301,0)),""))</f>
        <v/>
      </c>
      <c r="C263" s="26" t="n"/>
      <c r="D263" s="15">
        <f>IF(OR(B263="",C263="",B263=0),"",C263-B263)</f>
        <v/>
      </c>
      <c r="E263" s="15">
        <f>IF(D263="","",IF(D263&lt;=14,"Sí","No"))</f>
        <v/>
      </c>
      <c r="F263" s="25" t="n"/>
      <c r="G263" s="25" t="n"/>
      <c r="H263" s="16" t="n"/>
      <c r="I263" s="16" t="n"/>
      <c r="J263" s="25" t="n"/>
    </row>
    <row r="264">
      <c r="A264" s="25" t="n"/>
      <c r="B264" s="31">
        <f>IF(A264="","",IFERROR(INDEX(Pedidos!$Y$2:$Y$301,MATCH(A264,Pedidos!$A$2:$A$301,0)),""))</f>
        <v/>
      </c>
      <c r="C264" s="26" t="n"/>
      <c r="D264" s="15">
        <f>IF(OR(B264="",C264="",B264=0),"",C264-B264)</f>
        <v/>
      </c>
      <c r="E264" s="15">
        <f>IF(D264="","",IF(D264&lt;=14,"Sí","No"))</f>
        <v/>
      </c>
      <c r="F264" s="25" t="n"/>
      <c r="G264" s="25" t="n"/>
      <c r="H264" s="16" t="n"/>
      <c r="I264" s="16" t="n"/>
      <c r="J264" s="25" t="n"/>
    </row>
    <row r="265">
      <c r="A265" s="25" t="n"/>
      <c r="B265" s="31">
        <f>IF(A265="","",IFERROR(INDEX(Pedidos!$Y$2:$Y$301,MATCH(A265,Pedidos!$A$2:$A$301,0)),""))</f>
        <v/>
      </c>
      <c r="C265" s="26" t="n"/>
      <c r="D265" s="15">
        <f>IF(OR(B265="",C265="",B265=0),"",C265-B265)</f>
        <v/>
      </c>
      <c r="E265" s="15">
        <f>IF(D265="","",IF(D265&lt;=14,"Sí","No"))</f>
        <v/>
      </c>
      <c r="F265" s="25" t="n"/>
      <c r="G265" s="25" t="n"/>
      <c r="H265" s="16" t="n"/>
      <c r="I265" s="16" t="n"/>
      <c r="J265" s="25" t="n"/>
    </row>
    <row r="266">
      <c r="A266" s="25" t="n"/>
      <c r="B266" s="31">
        <f>IF(A266="","",IFERROR(INDEX(Pedidos!$Y$2:$Y$301,MATCH(A266,Pedidos!$A$2:$A$301,0)),""))</f>
        <v/>
      </c>
      <c r="C266" s="26" t="n"/>
      <c r="D266" s="15">
        <f>IF(OR(B266="",C266="",B266=0),"",C266-B266)</f>
        <v/>
      </c>
      <c r="E266" s="15">
        <f>IF(D266="","",IF(D266&lt;=14,"Sí","No"))</f>
        <v/>
      </c>
      <c r="F266" s="25" t="n"/>
      <c r="G266" s="25" t="n"/>
      <c r="H266" s="16" t="n"/>
      <c r="I266" s="16" t="n"/>
      <c r="J266" s="25" t="n"/>
    </row>
    <row r="267">
      <c r="A267" s="25" t="n"/>
      <c r="B267" s="31">
        <f>IF(A267="","",IFERROR(INDEX(Pedidos!$Y$2:$Y$301,MATCH(A267,Pedidos!$A$2:$A$301,0)),""))</f>
        <v/>
      </c>
      <c r="C267" s="26" t="n"/>
      <c r="D267" s="15">
        <f>IF(OR(B267="",C267="",B267=0),"",C267-B267)</f>
        <v/>
      </c>
      <c r="E267" s="15">
        <f>IF(D267="","",IF(D267&lt;=14,"Sí","No"))</f>
        <v/>
      </c>
      <c r="F267" s="25" t="n"/>
      <c r="G267" s="25" t="n"/>
      <c r="H267" s="16" t="n"/>
      <c r="I267" s="16" t="n"/>
      <c r="J267" s="25" t="n"/>
    </row>
    <row r="268">
      <c r="A268" s="25" t="n"/>
      <c r="B268" s="31">
        <f>IF(A268="","",IFERROR(INDEX(Pedidos!$Y$2:$Y$301,MATCH(A268,Pedidos!$A$2:$A$301,0)),""))</f>
        <v/>
      </c>
      <c r="C268" s="26" t="n"/>
      <c r="D268" s="15">
        <f>IF(OR(B268="",C268="",B268=0),"",C268-B268)</f>
        <v/>
      </c>
      <c r="E268" s="15">
        <f>IF(D268="","",IF(D268&lt;=14,"Sí","No"))</f>
        <v/>
      </c>
      <c r="F268" s="25" t="n"/>
      <c r="G268" s="25" t="n"/>
      <c r="H268" s="16" t="n"/>
      <c r="I268" s="16" t="n"/>
      <c r="J268" s="25" t="n"/>
    </row>
    <row r="269">
      <c r="A269" s="25" t="n"/>
      <c r="B269" s="31">
        <f>IF(A269="","",IFERROR(INDEX(Pedidos!$Y$2:$Y$301,MATCH(A269,Pedidos!$A$2:$A$301,0)),""))</f>
        <v/>
      </c>
      <c r="C269" s="26" t="n"/>
      <c r="D269" s="15">
        <f>IF(OR(B269="",C269="",B269=0),"",C269-B269)</f>
        <v/>
      </c>
      <c r="E269" s="15">
        <f>IF(D269="","",IF(D269&lt;=14,"Sí","No"))</f>
        <v/>
      </c>
      <c r="F269" s="25" t="n"/>
      <c r="G269" s="25" t="n"/>
      <c r="H269" s="16" t="n"/>
      <c r="I269" s="16" t="n"/>
      <c r="J269" s="25" t="n"/>
    </row>
    <row r="270">
      <c r="A270" s="25" t="n"/>
      <c r="B270" s="31">
        <f>IF(A270="","",IFERROR(INDEX(Pedidos!$Y$2:$Y$301,MATCH(A270,Pedidos!$A$2:$A$301,0)),""))</f>
        <v/>
      </c>
      <c r="C270" s="26" t="n"/>
      <c r="D270" s="15">
        <f>IF(OR(B270="",C270="",B270=0),"",C270-B270)</f>
        <v/>
      </c>
      <c r="E270" s="15">
        <f>IF(D270="","",IF(D270&lt;=14,"Sí","No"))</f>
        <v/>
      </c>
      <c r="F270" s="25" t="n"/>
      <c r="G270" s="25" t="n"/>
      <c r="H270" s="16" t="n"/>
      <c r="I270" s="16" t="n"/>
      <c r="J270" s="25" t="n"/>
    </row>
    <row r="271">
      <c r="A271" s="25" t="n"/>
      <c r="B271" s="31">
        <f>IF(A271="","",IFERROR(INDEX(Pedidos!$Y$2:$Y$301,MATCH(A271,Pedidos!$A$2:$A$301,0)),""))</f>
        <v/>
      </c>
      <c r="C271" s="26" t="n"/>
      <c r="D271" s="15">
        <f>IF(OR(B271="",C271="",B271=0),"",C271-B271)</f>
        <v/>
      </c>
      <c r="E271" s="15">
        <f>IF(D271="","",IF(D271&lt;=14,"Sí","No"))</f>
        <v/>
      </c>
      <c r="F271" s="25" t="n"/>
      <c r="G271" s="25" t="n"/>
      <c r="H271" s="16" t="n"/>
      <c r="I271" s="16" t="n"/>
      <c r="J271" s="25" t="n"/>
    </row>
    <row r="272">
      <c r="A272" s="25" t="n"/>
      <c r="B272" s="31">
        <f>IF(A272="","",IFERROR(INDEX(Pedidos!$Y$2:$Y$301,MATCH(A272,Pedidos!$A$2:$A$301,0)),""))</f>
        <v/>
      </c>
      <c r="C272" s="26" t="n"/>
      <c r="D272" s="15">
        <f>IF(OR(B272="",C272="",B272=0),"",C272-B272)</f>
        <v/>
      </c>
      <c r="E272" s="15">
        <f>IF(D272="","",IF(D272&lt;=14,"Sí","No"))</f>
        <v/>
      </c>
      <c r="F272" s="25" t="n"/>
      <c r="G272" s="25" t="n"/>
      <c r="H272" s="16" t="n"/>
      <c r="I272" s="16" t="n"/>
      <c r="J272" s="25" t="n"/>
    </row>
    <row r="273">
      <c r="A273" s="25" t="n"/>
      <c r="B273" s="31">
        <f>IF(A273="","",IFERROR(INDEX(Pedidos!$Y$2:$Y$301,MATCH(A273,Pedidos!$A$2:$A$301,0)),""))</f>
        <v/>
      </c>
      <c r="C273" s="26" t="n"/>
      <c r="D273" s="15">
        <f>IF(OR(B273="",C273="",B273=0),"",C273-B273)</f>
        <v/>
      </c>
      <c r="E273" s="15">
        <f>IF(D273="","",IF(D273&lt;=14,"Sí","No"))</f>
        <v/>
      </c>
      <c r="F273" s="25" t="n"/>
      <c r="G273" s="25" t="n"/>
      <c r="H273" s="16" t="n"/>
      <c r="I273" s="16" t="n"/>
      <c r="J273" s="25" t="n"/>
    </row>
    <row r="274">
      <c r="A274" s="25" t="n"/>
      <c r="B274" s="31">
        <f>IF(A274="","",IFERROR(INDEX(Pedidos!$Y$2:$Y$301,MATCH(A274,Pedidos!$A$2:$A$301,0)),""))</f>
        <v/>
      </c>
      <c r="C274" s="26" t="n"/>
      <c r="D274" s="15">
        <f>IF(OR(B274="",C274="",B274=0),"",C274-B274)</f>
        <v/>
      </c>
      <c r="E274" s="15">
        <f>IF(D274="","",IF(D274&lt;=14,"Sí","No"))</f>
        <v/>
      </c>
      <c r="F274" s="25" t="n"/>
      <c r="G274" s="25" t="n"/>
      <c r="H274" s="16" t="n"/>
      <c r="I274" s="16" t="n"/>
      <c r="J274" s="25" t="n"/>
    </row>
    <row r="275">
      <c r="A275" s="25" t="n"/>
      <c r="B275" s="31">
        <f>IF(A275="","",IFERROR(INDEX(Pedidos!$Y$2:$Y$301,MATCH(A275,Pedidos!$A$2:$A$301,0)),""))</f>
        <v/>
      </c>
      <c r="C275" s="26" t="n"/>
      <c r="D275" s="15">
        <f>IF(OR(B275="",C275="",B275=0),"",C275-B275)</f>
        <v/>
      </c>
      <c r="E275" s="15">
        <f>IF(D275="","",IF(D275&lt;=14,"Sí","No"))</f>
        <v/>
      </c>
      <c r="F275" s="25" t="n"/>
      <c r="G275" s="25" t="n"/>
      <c r="H275" s="16" t="n"/>
      <c r="I275" s="16" t="n"/>
      <c r="J275" s="25" t="n"/>
    </row>
    <row r="276">
      <c r="A276" s="25" t="n"/>
      <c r="B276" s="31">
        <f>IF(A276="","",IFERROR(INDEX(Pedidos!$Y$2:$Y$301,MATCH(A276,Pedidos!$A$2:$A$301,0)),""))</f>
        <v/>
      </c>
      <c r="C276" s="26" t="n"/>
      <c r="D276" s="15">
        <f>IF(OR(B276="",C276="",B276=0),"",C276-B276)</f>
        <v/>
      </c>
      <c r="E276" s="15">
        <f>IF(D276="","",IF(D276&lt;=14,"Sí","No"))</f>
        <v/>
      </c>
      <c r="F276" s="25" t="n"/>
      <c r="G276" s="25" t="n"/>
      <c r="H276" s="16" t="n"/>
      <c r="I276" s="16" t="n"/>
      <c r="J276" s="25" t="n"/>
    </row>
    <row r="277">
      <c r="A277" s="25" t="n"/>
      <c r="B277" s="31">
        <f>IF(A277="","",IFERROR(INDEX(Pedidos!$Y$2:$Y$301,MATCH(A277,Pedidos!$A$2:$A$301,0)),""))</f>
        <v/>
      </c>
      <c r="C277" s="26" t="n"/>
      <c r="D277" s="15">
        <f>IF(OR(B277="",C277="",B277=0),"",C277-B277)</f>
        <v/>
      </c>
      <c r="E277" s="15">
        <f>IF(D277="","",IF(D277&lt;=14,"Sí","No"))</f>
        <v/>
      </c>
      <c r="F277" s="25" t="n"/>
      <c r="G277" s="25" t="n"/>
      <c r="H277" s="16" t="n"/>
      <c r="I277" s="16" t="n"/>
      <c r="J277" s="25" t="n"/>
    </row>
    <row r="278">
      <c r="A278" s="25" t="n"/>
      <c r="B278" s="31">
        <f>IF(A278="","",IFERROR(INDEX(Pedidos!$Y$2:$Y$301,MATCH(A278,Pedidos!$A$2:$A$301,0)),""))</f>
        <v/>
      </c>
      <c r="C278" s="26" t="n"/>
      <c r="D278" s="15">
        <f>IF(OR(B278="",C278="",B278=0),"",C278-B278)</f>
        <v/>
      </c>
      <c r="E278" s="15">
        <f>IF(D278="","",IF(D278&lt;=14,"Sí","No"))</f>
        <v/>
      </c>
      <c r="F278" s="25" t="n"/>
      <c r="G278" s="25" t="n"/>
      <c r="H278" s="16" t="n"/>
      <c r="I278" s="16" t="n"/>
      <c r="J278" s="25" t="n"/>
    </row>
    <row r="279">
      <c r="A279" s="25" t="n"/>
      <c r="B279" s="31">
        <f>IF(A279="","",IFERROR(INDEX(Pedidos!$Y$2:$Y$301,MATCH(A279,Pedidos!$A$2:$A$301,0)),""))</f>
        <v/>
      </c>
      <c r="C279" s="26" t="n"/>
      <c r="D279" s="15">
        <f>IF(OR(B279="",C279="",B279=0),"",C279-B279)</f>
        <v/>
      </c>
      <c r="E279" s="15">
        <f>IF(D279="","",IF(D279&lt;=14,"Sí","No"))</f>
        <v/>
      </c>
      <c r="F279" s="25" t="n"/>
      <c r="G279" s="25" t="n"/>
      <c r="H279" s="16" t="n"/>
      <c r="I279" s="16" t="n"/>
      <c r="J279" s="25" t="n"/>
    </row>
    <row r="280">
      <c r="A280" s="25" t="n"/>
      <c r="B280" s="31">
        <f>IF(A280="","",IFERROR(INDEX(Pedidos!$Y$2:$Y$301,MATCH(A280,Pedidos!$A$2:$A$301,0)),""))</f>
        <v/>
      </c>
      <c r="C280" s="26" t="n"/>
      <c r="D280" s="15">
        <f>IF(OR(B280="",C280="",B280=0),"",C280-B280)</f>
        <v/>
      </c>
      <c r="E280" s="15">
        <f>IF(D280="","",IF(D280&lt;=14,"Sí","No"))</f>
        <v/>
      </c>
      <c r="F280" s="25" t="n"/>
      <c r="G280" s="25" t="n"/>
      <c r="H280" s="16" t="n"/>
      <c r="I280" s="16" t="n"/>
      <c r="J280" s="25" t="n"/>
    </row>
    <row r="281">
      <c r="A281" s="25" t="n"/>
      <c r="B281" s="31">
        <f>IF(A281="","",IFERROR(INDEX(Pedidos!$Y$2:$Y$301,MATCH(A281,Pedidos!$A$2:$A$301,0)),""))</f>
        <v/>
      </c>
      <c r="C281" s="26" t="n"/>
      <c r="D281" s="15">
        <f>IF(OR(B281="",C281="",B281=0),"",C281-B281)</f>
        <v/>
      </c>
      <c r="E281" s="15">
        <f>IF(D281="","",IF(D281&lt;=14,"Sí","No"))</f>
        <v/>
      </c>
      <c r="F281" s="25" t="n"/>
      <c r="G281" s="25" t="n"/>
      <c r="H281" s="16" t="n"/>
      <c r="I281" s="16" t="n"/>
      <c r="J281" s="25" t="n"/>
    </row>
    <row r="282">
      <c r="A282" s="25" t="n"/>
      <c r="B282" s="31">
        <f>IF(A282="","",IFERROR(INDEX(Pedidos!$Y$2:$Y$301,MATCH(A282,Pedidos!$A$2:$A$301,0)),""))</f>
        <v/>
      </c>
      <c r="C282" s="26" t="n"/>
      <c r="D282" s="15">
        <f>IF(OR(B282="",C282="",B282=0),"",C282-B282)</f>
        <v/>
      </c>
      <c r="E282" s="15">
        <f>IF(D282="","",IF(D282&lt;=14,"Sí","No"))</f>
        <v/>
      </c>
      <c r="F282" s="25" t="n"/>
      <c r="G282" s="25" t="n"/>
      <c r="H282" s="16" t="n"/>
      <c r="I282" s="16" t="n"/>
      <c r="J282" s="25" t="n"/>
    </row>
    <row r="283">
      <c r="A283" s="25" t="n"/>
      <c r="B283" s="31">
        <f>IF(A283="","",IFERROR(INDEX(Pedidos!$Y$2:$Y$301,MATCH(A283,Pedidos!$A$2:$A$301,0)),""))</f>
        <v/>
      </c>
      <c r="C283" s="26" t="n"/>
      <c r="D283" s="15">
        <f>IF(OR(B283="",C283="",B283=0),"",C283-B283)</f>
        <v/>
      </c>
      <c r="E283" s="15">
        <f>IF(D283="","",IF(D283&lt;=14,"Sí","No"))</f>
        <v/>
      </c>
      <c r="F283" s="25" t="n"/>
      <c r="G283" s="25" t="n"/>
      <c r="H283" s="16" t="n"/>
      <c r="I283" s="16" t="n"/>
      <c r="J283" s="25" t="n"/>
    </row>
    <row r="284">
      <c r="A284" s="25" t="n"/>
      <c r="B284" s="31">
        <f>IF(A284="","",IFERROR(INDEX(Pedidos!$Y$2:$Y$301,MATCH(A284,Pedidos!$A$2:$A$301,0)),""))</f>
        <v/>
      </c>
      <c r="C284" s="26" t="n"/>
      <c r="D284" s="15">
        <f>IF(OR(B284="",C284="",B284=0),"",C284-B284)</f>
        <v/>
      </c>
      <c r="E284" s="15">
        <f>IF(D284="","",IF(D284&lt;=14,"Sí","No"))</f>
        <v/>
      </c>
      <c r="F284" s="25" t="n"/>
      <c r="G284" s="25" t="n"/>
      <c r="H284" s="16" t="n"/>
      <c r="I284" s="16" t="n"/>
      <c r="J284" s="25" t="n"/>
    </row>
    <row r="285">
      <c r="A285" s="25" t="n"/>
      <c r="B285" s="31">
        <f>IF(A285="","",IFERROR(INDEX(Pedidos!$Y$2:$Y$301,MATCH(A285,Pedidos!$A$2:$A$301,0)),""))</f>
        <v/>
      </c>
      <c r="C285" s="26" t="n"/>
      <c r="D285" s="15">
        <f>IF(OR(B285="",C285="",B285=0),"",C285-B285)</f>
        <v/>
      </c>
      <c r="E285" s="15">
        <f>IF(D285="","",IF(D285&lt;=14,"Sí","No"))</f>
        <v/>
      </c>
      <c r="F285" s="25" t="n"/>
      <c r="G285" s="25" t="n"/>
      <c r="H285" s="16" t="n"/>
      <c r="I285" s="16" t="n"/>
      <c r="J285" s="25" t="n"/>
    </row>
    <row r="286">
      <c r="A286" s="25" t="n"/>
      <c r="B286" s="31">
        <f>IF(A286="","",IFERROR(INDEX(Pedidos!$Y$2:$Y$301,MATCH(A286,Pedidos!$A$2:$A$301,0)),""))</f>
        <v/>
      </c>
      <c r="C286" s="26" t="n"/>
      <c r="D286" s="15">
        <f>IF(OR(B286="",C286="",B286=0),"",C286-B286)</f>
        <v/>
      </c>
      <c r="E286" s="15">
        <f>IF(D286="","",IF(D286&lt;=14,"Sí","No"))</f>
        <v/>
      </c>
      <c r="F286" s="25" t="n"/>
      <c r="G286" s="25" t="n"/>
      <c r="H286" s="16" t="n"/>
      <c r="I286" s="16" t="n"/>
      <c r="J286" s="25" t="n"/>
    </row>
    <row r="287">
      <c r="A287" s="25" t="n"/>
      <c r="B287" s="31">
        <f>IF(A287="","",IFERROR(INDEX(Pedidos!$Y$2:$Y$301,MATCH(A287,Pedidos!$A$2:$A$301,0)),""))</f>
        <v/>
      </c>
      <c r="C287" s="26" t="n"/>
      <c r="D287" s="15">
        <f>IF(OR(B287="",C287="",B287=0),"",C287-B287)</f>
        <v/>
      </c>
      <c r="E287" s="15">
        <f>IF(D287="","",IF(D287&lt;=14,"Sí","No"))</f>
        <v/>
      </c>
      <c r="F287" s="25" t="n"/>
      <c r="G287" s="25" t="n"/>
      <c r="H287" s="16" t="n"/>
      <c r="I287" s="16" t="n"/>
      <c r="J287" s="25" t="n"/>
    </row>
    <row r="288">
      <c r="A288" s="25" t="n"/>
      <c r="B288" s="31">
        <f>IF(A288="","",IFERROR(INDEX(Pedidos!$Y$2:$Y$301,MATCH(A288,Pedidos!$A$2:$A$301,0)),""))</f>
        <v/>
      </c>
      <c r="C288" s="26" t="n"/>
      <c r="D288" s="15">
        <f>IF(OR(B288="",C288="",B288=0),"",C288-B288)</f>
        <v/>
      </c>
      <c r="E288" s="15">
        <f>IF(D288="","",IF(D288&lt;=14,"Sí","No"))</f>
        <v/>
      </c>
      <c r="F288" s="25" t="n"/>
      <c r="G288" s="25" t="n"/>
      <c r="H288" s="16" t="n"/>
      <c r="I288" s="16" t="n"/>
      <c r="J288" s="25" t="n"/>
    </row>
    <row r="289">
      <c r="A289" s="25" t="n"/>
      <c r="B289" s="31">
        <f>IF(A289="","",IFERROR(INDEX(Pedidos!$Y$2:$Y$301,MATCH(A289,Pedidos!$A$2:$A$301,0)),""))</f>
        <v/>
      </c>
      <c r="C289" s="26" t="n"/>
      <c r="D289" s="15">
        <f>IF(OR(B289="",C289="",B289=0),"",C289-B289)</f>
        <v/>
      </c>
      <c r="E289" s="15">
        <f>IF(D289="","",IF(D289&lt;=14,"Sí","No"))</f>
        <v/>
      </c>
      <c r="F289" s="25" t="n"/>
      <c r="G289" s="25" t="n"/>
      <c r="H289" s="16" t="n"/>
      <c r="I289" s="16" t="n"/>
      <c r="J289" s="25" t="n"/>
    </row>
    <row r="290">
      <c r="A290" s="25" t="n"/>
      <c r="B290" s="31">
        <f>IF(A290="","",IFERROR(INDEX(Pedidos!$Y$2:$Y$301,MATCH(A290,Pedidos!$A$2:$A$301,0)),""))</f>
        <v/>
      </c>
      <c r="C290" s="26" t="n"/>
      <c r="D290" s="15">
        <f>IF(OR(B290="",C290="",B290=0),"",C290-B290)</f>
        <v/>
      </c>
      <c r="E290" s="15">
        <f>IF(D290="","",IF(D290&lt;=14,"Sí","No"))</f>
        <v/>
      </c>
      <c r="F290" s="25" t="n"/>
      <c r="G290" s="25" t="n"/>
      <c r="H290" s="16" t="n"/>
      <c r="I290" s="16" t="n"/>
      <c r="J290" s="25" t="n"/>
    </row>
    <row r="291">
      <c r="A291" s="25" t="n"/>
      <c r="B291" s="31">
        <f>IF(A291="","",IFERROR(INDEX(Pedidos!$Y$2:$Y$301,MATCH(A291,Pedidos!$A$2:$A$301,0)),""))</f>
        <v/>
      </c>
      <c r="C291" s="26" t="n"/>
      <c r="D291" s="15">
        <f>IF(OR(B291="",C291="",B291=0),"",C291-B291)</f>
        <v/>
      </c>
      <c r="E291" s="15">
        <f>IF(D291="","",IF(D291&lt;=14,"Sí","No"))</f>
        <v/>
      </c>
      <c r="F291" s="25" t="n"/>
      <c r="G291" s="25" t="n"/>
      <c r="H291" s="16" t="n"/>
      <c r="I291" s="16" t="n"/>
      <c r="J291" s="25" t="n"/>
    </row>
    <row r="292">
      <c r="A292" s="25" t="n"/>
      <c r="B292" s="31">
        <f>IF(A292="","",IFERROR(INDEX(Pedidos!$Y$2:$Y$301,MATCH(A292,Pedidos!$A$2:$A$301,0)),""))</f>
        <v/>
      </c>
      <c r="C292" s="26" t="n"/>
      <c r="D292" s="15">
        <f>IF(OR(B292="",C292="",B292=0),"",C292-B292)</f>
        <v/>
      </c>
      <c r="E292" s="15">
        <f>IF(D292="","",IF(D292&lt;=14,"Sí","No"))</f>
        <v/>
      </c>
      <c r="F292" s="25" t="n"/>
      <c r="G292" s="25" t="n"/>
      <c r="H292" s="16" t="n"/>
      <c r="I292" s="16" t="n"/>
      <c r="J292" s="25" t="n"/>
    </row>
    <row r="293">
      <c r="A293" s="25" t="n"/>
      <c r="B293" s="31">
        <f>IF(A293="","",IFERROR(INDEX(Pedidos!$Y$2:$Y$301,MATCH(A293,Pedidos!$A$2:$A$301,0)),""))</f>
        <v/>
      </c>
      <c r="C293" s="26" t="n"/>
      <c r="D293" s="15">
        <f>IF(OR(B293="",C293="",B293=0),"",C293-B293)</f>
        <v/>
      </c>
      <c r="E293" s="15">
        <f>IF(D293="","",IF(D293&lt;=14,"Sí","No"))</f>
        <v/>
      </c>
      <c r="F293" s="25" t="n"/>
      <c r="G293" s="25" t="n"/>
      <c r="H293" s="16" t="n"/>
      <c r="I293" s="16" t="n"/>
      <c r="J293" s="25" t="n"/>
    </row>
    <row r="294">
      <c r="A294" s="25" t="n"/>
      <c r="B294" s="31">
        <f>IF(A294="","",IFERROR(INDEX(Pedidos!$Y$2:$Y$301,MATCH(A294,Pedidos!$A$2:$A$301,0)),""))</f>
        <v/>
      </c>
      <c r="C294" s="26" t="n"/>
      <c r="D294" s="15">
        <f>IF(OR(B294="",C294="",B294=0),"",C294-B294)</f>
        <v/>
      </c>
      <c r="E294" s="15">
        <f>IF(D294="","",IF(D294&lt;=14,"Sí","No"))</f>
        <v/>
      </c>
      <c r="F294" s="25" t="n"/>
      <c r="G294" s="25" t="n"/>
      <c r="H294" s="16" t="n"/>
      <c r="I294" s="16" t="n"/>
      <c r="J294" s="25" t="n"/>
    </row>
    <row r="295">
      <c r="A295" s="25" t="n"/>
      <c r="B295" s="31">
        <f>IF(A295="","",IFERROR(INDEX(Pedidos!$Y$2:$Y$301,MATCH(A295,Pedidos!$A$2:$A$301,0)),""))</f>
        <v/>
      </c>
      <c r="C295" s="26" t="n"/>
      <c r="D295" s="15">
        <f>IF(OR(B295="",C295="",B295=0),"",C295-B295)</f>
        <v/>
      </c>
      <c r="E295" s="15">
        <f>IF(D295="","",IF(D295&lt;=14,"Sí","No"))</f>
        <v/>
      </c>
      <c r="F295" s="25" t="n"/>
      <c r="G295" s="25" t="n"/>
      <c r="H295" s="16" t="n"/>
      <c r="I295" s="16" t="n"/>
      <c r="J295" s="25" t="n"/>
    </row>
    <row r="296">
      <c r="A296" s="25" t="n"/>
      <c r="B296" s="31">
        <f>IF(A296="","",IFERROR(INDEX(Pedidos!$Y$2:$Y$301,MATCH(A296,Pedidos!$A$2:$A$301,0)),""))</f>
        <v/>
      </c>
      <c r="C296" s="26" t="n"/>
      <c r="D296" s="15">
        <f>IF(OR(B296="",C296="",B296=0),"",C296-B296)</f>
        <v/>
      </c>
      <c r="E296" s="15">
        <f>IF(D296="","",IF(D296&lt;=14,"Sí","No"))</f>
        <v/>
      </c>
      <c r="F296" s="25" t="n"/>
      <c r="G296" s="25" t="n"/>
      <c r="H296" s="16" t="n"/>
      <c r="I296" s="16" t="n"/>
      <c r="J296" s="25" t="n"/>
    </row>
    <row r="297">
      <c r="A297" s="25" t="n"/>
      <c r="B297" s="31">
        <f>IF(A297="","",IFERROR(INDEX(Pedidos!$Y$2:$Y$301,MATCH(A297,Pedidos!$A$2:$A$301,0)),""))</f>
        <v/>
      </c>
      <c r="C297" s="26" t="n"/>
      <c r="D297" s="15">
        <f>IF(OR(B297="",C297="",B297=0),"",C297-B297)</f>
        <v/>
      </c>
      <c r="E297" s="15">
        <f>IF(D297="","",IF(D297&lt;=14,"Sí","No"))</f>
        <v/>
      </c>
      <c r="F297" s="25" t="n"/>
      <c r="G297" s="25" t="n"/>
      <c r="H297" s="16" t="n"/>
      <c r="I297" s="16" t="n"/>
      <c r="J297" s="25" t="n"/>
    </row>
    <row r="298">
      <c r="A298" s="25" t="n"/>
      <c r="B298" s="31">
        <f>IF(A298="","",IFERROR(INDEX(Pedidos!$Y$2:$Y$301,MATCH(A298,Pedidos!$A$2:$A$301,0)),""))</f>
        <v/>
      </c>
      <c r="C298" s="26" t="n"/>
      <c r="D298" s="15">
        <f>IF(OR(B298="",C298="",B298=0),"",C298-B298)</f>
        <v/>
      </c>
      <c r="E298" s="15">
        <f>IF(D298="","",IF(D298&lt;=14,"Sí","No"))</f>
        <v/>
      </c>
      <c r="F298" s="25" t="n"/>
      <c r="G298" s="25" t="n"/>
      <c r="H298" s="16" t="n"/>
      <c r="I298" s="16" t="n"/>
      <c r="J298" s="25" t="n"/>
    </row>
    <row r="299">
      <c r="A299" s="25" t="n"/>
      <c r="B299" s="31">
        <f>IF(A299="","",IFERROR(INDEX(Pedidos!$Y$2:$Y$301,MATCH(A299,Pedidos!$A$2:$A$301,0)),""))</f>
        <v/>
      </c>
      <c r="C299" s="26" t="n"/>
      <c r="D299" s="15">
        <f>IF(OR(B299="",C299="",B299=0),"",C299-B299)</f>
        <v/>
      </c>
      <c r="E299" s="15">
        <f>IF(D299="","",IF(D299&lt;=14,"Sí","No"))</f>
        <v/>
      </c>
      <c r="F299" s="25" t="n"/>
      <c r="G299" s="25" t="n"/>
      <c r="H299" s="16" t="n"/>
      <c r="I299" s="16" t="n"/>
      <c r="J299" s="25" t="n"/>
    </row>
    <row r="300">
      <c r="A300" s="25" t="n"/>
      <c r="B300" s="31">
        <f>IF(A300="","",IFERROR(INDEX(Pedidos!$Y$2:$Y$301,MATCH(A300,Pedidos!$A$2:$A$301,0)),""))</f>
        <v/>
      </c>
      <c r="C300" s="26" t="n"/>
      <c r="D300" s="15">
        <f>IF(OR(B300="",C300="",B300=0),"",C300-B300)</f>
        <v/>
      </c>
      <c r="E300" s="15">
        <f>IF(D300="","",IF(D300&lt;=14,"Sí","No"))</f>
        <v/>
      </c>
      <c r="F300" s="25" t="n"/>
      <c r="G300" s="25" t="n"/>
      <c r="H300" s="16" t="n"/>
      <c r="I300" s="16" t="n"/>
      <c r="J300" s="25" t="n"/>
    </row>
    <row r="301">
      <c r="A301" s="25" t="n"/>
      <c r="B301" s="31">
        <f>IF(A301="","",IFERROR(INDEX(Pedidos!$Y$2:$Y$301,MATCH(A301,Pedidos!$A$2:$A$301,0)),""))</f>
        <v/>
      </c>
      <c r="C301" s="26" t="n"/>
      <c r="D301" s="15">
        <f>IF(OR(B301="",C301="",B301=0),"",C301-B301)</f>
        <v/>
      </c>
      <c r="E301" s="15">
        <f>IF(D301="","",IF(D301&lt;=14,"Sí","No"))</f>
        <v/>
      </c>
      <c r="F301" s="25" t="n"/>
      <c r="G301" s="25" t="n"/>
      <c r="H301" s="16" t="n"/>
      <c r="I301" s="16" t="n"/>
      <c r="J301" s="25" t="n"/>
    </row>
  </sheetData>
  <dataValidations count="2">
    <dataValidation sqref="F2:F301" showDropDown="0" showInputMessage="0" showErrorMessage="0" allowBlank="1" type="list">
      <formula1>"Desistimiento (no lo quiere),Llegó roto,No funciona,No es lo esperado,Error en el pedido,No llegó,Otro"</formula1>
    </dataValidation>
    <dataValidation sqref="G2:G301" showDropDown="0" showInputMessage="0" showErrorMessage="0" allowBlank="1" type="list">
      <formula1>"Solicitada,Aceptada,Recibida,Reembolsada,Rechazada"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2026-09-29T23:00:08Z</dcterms:created>
  <dcterms:modified xsi:type="dcterms:W3CDTF">2026-09-29T23:00:08Z</dcterms:modified>
</cp:coreProperties>
</file>